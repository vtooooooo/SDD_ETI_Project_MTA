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lass Log" sheetId="1" state="visible" r:id="rId3"/>
    <sheet name="🔧 Reference Lists" sheetId="2" state="visible" r:id="rId4"/>
    <sheet name="📅 Monthly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<sst xmlns="http://schemas.openxmlformats.org/spreadsheetml/2006/main" count="169" uniqueCount="132">
  <si>
    <t xml:space="preserve">MTA – Department of Subways | Operations Training Division</t>
  </si>
  <si>
    <t xml:space="preserve">DAILY TRAINING CLASS LOG  |  Data Collection Template</t>
  </si>
  <si>
    <t xml:space="preserve">SESSION INFORMATION</t>
  </si>
  <si>
    <t xml:space="preserve">Unit / Division:</t>
  </si>
  <si>
    <t xml:space="preserve">Service Delivery – Unit 1</t>
  </si>
  <si>
    <t xml:space="preserve">Course Code:</t>
  </si>
  <si>
    <t xml:space="preserve">SD-1042</t>
  </si>
  <si>
    <t xml:space="preserve">Course Title:</t>
  </si>
  <si>
    <t xml:space="preserve">Subway Signals &amp; Equipment Safety</t>
  </si>
  <si>
    <t xml:space="preserve">Date:</t>
  </si>
  <si>
    <t xml:space="preserve">2025-01-15</t>
  </si>
  <si>
    <t xml:space="preserve">Session #:</t>
  </si>
  <si>
    <t xml:space="preserve">Session 3</t>
  </si>
  <si>
    <t xml:space="preserve">Location / Room:</t>
  </si>
  <si>
    <t xml:space="preserve">Room 204, 130 Livingston St</t>
  </si>
  <si>
    <t xml:space="preserve">Instructor Name:</t>
  </si>
  <si>
    <t xml:space="preserve">Maria Johnson</t>
  </si>
  <si>
    <t xml:space="preserve">Instructor ID:</t>
  </si>
  <si>
    <t xml:space="preserve">EMP-00421</t>
  </si>
  <si>
    <t xml:space="preserve">Training Type:</t>
  </si>
  <si>
    <t xml:space="preserve">Induction / New Hire</t>
  </si>
  <si>
    <t xml:space="preserve">⚙  Use dropdowns where available. Required fields marked with *</t>
  </si>
  <si>
    <t xml:space="preserve">#</t>
  </si>
  <si>
    <t xml:space="preserve">Employee ID *</t>
  </si>
  <si>
    <t xml:space="preserve">Employee Name *</t>
  </si>
  <si>
    <t xml:space="preserve">Title / Rank</t>
  </si>
  <si>
    <t xml:space="preserve">Unit</t>
  </si>
  <si>
    <t xml:space="preserve">Attendance *</t>
  </si>
  <si>
    <t xml:space="preserve">Pre-Test Score</t>
  </si>
  <si>
    <t xml:space="preserve">Post-Test Score</t>
  </si>
  <si>
    <t xml:space="preserve">Score Change</t>
  </si>
  <si>
    <t xml:space="preserve">Pass / Fail *</t>
  </si>
  <si>
    <t xml:space="preserve">Certification Issued?</t>
  </si>
  <si>
    <t xml:space="preserve">Cert. Expiry Date</t>
  </si>
  <si>
    <t xml:space="preserve">Notes / Remarks</t>
  </si>
  <si>
    <t xml:space="preserve">Verified By</t>
  </si>
  <si>
    <t xml:space="preserve">Timestamp</t>
  </si>
  <si>
    <t xml:space="preserve">EMP-10231</t>
  </si>
  <si>
    <t xml:space="preserve">James Williams</t>
  </si>
  <si>
    <t xml:space="preserve">Train Operator</t>
  </si>
  <si>
    <t xml:space="preserve">Unit 1</t>
  </si>
  <si>
    <t xml:space="preserve">Present</t>
  </si>
  <si>
    <t xml:space="preserve">Yes</t>
  </si>
  <si>
    <t xml:space="preserve">2027-01-15</t>
  </si>
  <si>
    <t xml:space="preserve">M. Johnson</t>
  </si>
  <si>
    <t xml:space="preserve">EMP-10344</t>
  </si>
  <si>
    <t xml:space="preserve">Sandra Lee</t>
  </si>
  <si>
    <t xml:space="preserve">Station Agent</t>
  </si>
  <si>
    <t xml:space="preserve">Unit 2</t>
  </si>
  <si>
    <t xml:space="preserve">EMP-10512</t>
  </si>
  <si>
    <t xml:space="preserve">David Brown</t>
  </si>
  <si>
    <t xml:space="preserve">Needs refresher in 6 mo.</t>
  </si>
  <si>
    <t xml:space="preserve">EMP-10628</t>
  </si>
  <si>
    <t xml:space="preserve">Angela Torres</t>
  </si>
  <si>
    <t xml:space="preserve">Conductor</t>
  </si>
  <si>
    <t xml:space="preserve">Unit 3</t>
  </si>
  <si>
    <t xml:space="preserve">Absent</t>
  </si>
  <si>
    <t xml:space="preserve">No</t>
  </si>
  <si>
    <t xml:space="preserve">Called in sick</t>
  </si>
  <si>
    <t xml:space="preserve">EMP-10701</t>
  </si>
  <si>
    <t xml:space="preserve">Michael Chen</t>
  </si>
  <si>
    <t xml:space="preserve">Supervisor</t>
  </si>
  <si>
    <t xml:space="preserve">SESSION SUMMARY</t>
  </si>
  <si>
    <t xml:space="preserve">Total Enrolled:</t>
  </si>
  <si>
    <t xml:space="preserve">Total Present:</t>
  </si>
  <si>
    <t xml:space="preserve">Total Absent:</t>
  </si>
  <si>
    <t xml:space="preserve">Attendance Rate:</t>
  </si>
  <si>
    <t xml:space="preserve">Total PASS:</t>
  </si>
  <si>
    <t xml:space="preserve">Total FAIL:</t>
  </si>
  <si>
    <t xml:space="preserve">Pass Rate:</t>
  </si>
  <si>
    <t xml:space="preserve">Avg Pre-Test Score:</t>
  </si>
  <si>
    <t xml:space="preserve">Avg Post-Test Score:</t>
  </si>
  <si>
    <t xml:space="preserve">Avg Score Improvement:</t>
  </si>
  <si>
    <t xml:space="preserve">SIGN-OFF &amp; VERIFICATION</t>
  </si>
  <si>
    <t xml:space="preserve">Instructor Signature:</t>
  </si>
  <si>
    <t xml:space="preserve">Date Submitted:</t>
  </si>
  <si>
    <t xml:space="preserve">Reviewed By:</t>
  </si>
  <si>
    <t xml:space="preserve">Review Date:</t>
  </si>
  <si>
    <t xml:space="preserve">REFERENCE DATA – Do Not Edit</t>
  </si>
  <si>
    <t xml:space="preserve">Training Units</t>
  </si>
  <si>
    <t xml:space="preserve">Training Types</t>
  </si>
  <si>
    <t xml:space="preserve">Attendance Options</t>
  </si>
  <si>
    <t xml:space="preserve">Pass/Fail Threshold</t>
  </si>
  <si>
    <t xml:space="preserve">Locations</t>
  </si>
  <si>
    <t xml:space="preserve">Unit 1 – Train Operations</t>
  </si>
  <si>
    <t xml:space="preserve">&gt;=70 = PASS</t>
  </si>
  <si>
    <t xml:space="preserve">Room 101</t>
  </si>
  <si>
    <t xml:space="preserve">Unit 2 – Station Operations</t>
  </si>
  <si>
    <t xml:space="preserve">Promotional</t>
  </si>
  <si>
    <t xml:space="preserve">&lt;70 = FAIL</t>
  </si>
  <si>
    <t xml:space="preserve">Room 204</t>
  </si>
  <si>
    <t xml:space="preserve">Unit 3 – Maintenance</t>
  </si>
  <si>
    <t xml:space="preserve">Equipment – New</t>
  </si>
  <si>
    <t xml:space="preserve">Late – Excused</t>
  </si>
  <si>
    <t xml:space="preserve">N/A = Not Tested</t>
  </si>
  <si>
    <t xml:space="preserve">Room 310</t>
  </si>
  <si>
    <t xml:space="preserve">Unit 4 – Safety &amp; Security</t>
  </si>
  <si>
    <t xml:space="preserve">Equipment – Existing</t>
  </si>
  <si>
    <t xml:space="preserve">Late – Unexcused</t>
  </si>
  <si>
    <t xml:space="preserve">Training Annex A</t>
  </si>
  <si>
    <t xml:space="preserve">Unit 5 – Supervision</t>
  </si>
  <si>
    <t xml:space="preserve">Safety Refresher</t>
  </si>
  <si>
    <t xml:space="preserve">Remote</t>
  </si>
  <si>
    <t xml:space="preserve">Training Annex B</t>
  </si>
  <si>
    <t xml:space="preserve">Title-Specific</t>
  </si>
  <si>
    <t xml:space="preserve">Field Training</t>
  </si>
  <si>
    <t xml:space="preserve">Skill Refresher</t>
  </si>
  <si>
    <t xml:space="preserve">MTA Operations Training – Monthly Class Tracker</t>
  </si>
  <si>
    <t xml:space="preserve">Fiscal Year 2025  |  Auto-calculates from Class Log entries</t>
  </si>
  <si>
    <t xml:space="preserve">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</si>
  <si>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</si>
  <si>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</si>
  <si>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</si>
  <si>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</si>
  <si>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</si>
  <si>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</si>
  <si>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</si>
  <si>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</si>
  <si>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</si>
  <si>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</si>
  <si>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</si>
  <si>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</si>
  <si>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 Total</t>
  </si>
  <si>
    <t xml:space="preserve">Target</t>
  </si>
  <si>
    <t xml:space="preserve">Status</t>
  </si>
  <si>
    <t xml:space="preserve">Unit 1 – Train Ops</t>
  </si>
  <si>
    <t xml:space="preserve">Classes Conducted</t>
  </si>
  <si>
    <t xml:space="preserve">Employees Trained</t>
  </si>
  <si>
    <t xml:space="preserve">Pass Rate (%)</t>
  </si>
  <si>
    <t xml:space="preserve">Avg Score Improvement</t>
  </si>
  <si>
    <t xml:space="preserve">Unit 2 – Station Ops</t>
  </si>
  <si>
    <t xml:space="preserve">Unit 4 – Safety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</si>
</sst>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+0;\-0;0"/>
    <numFmt numFmtId="166" formatCode="General"/>
    <numFmt numFmtId="167" formatCode="0.0%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3" min="13" style="1" width="22"/>
    <col collapsed="false" customWidth="true" hidden="false" outlineLevel="0" max="14" min="14" style="1" width="14"/>
    <col collapsed="false" customWidth="true" hidden="false" outlineLevel="0" max="15" min="15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15" hidden="false" customHeight="true" outlineLevel="0" collapsed="false">
      <c r="A4" s="6" t="s">
        <v>3</v>
      </c>
      <c r="B4" s="7" t="s">
        <v>4</v>
      </c>
      <c r="C4" s="7"/>
      <c r="D4" s="6" t="s">
        <v>5</v>
      </c>
      <c r="E4" s="7" t="s">
        <v>6</v>
      </c>
      <c r="F4" s="7"/>
      <c r="G4" s="6" t="s">
        <v>7</v>
      </c>
      <c r="H4" s="7" t="s">
        <v>8</v>
      </c>
      <c r="I4" s="7"/>
      <c r="J4" s="7"/>
      <c r="K4" s="7"/>
      <c r="L4" s="7"/>
      <c r="M4" s="7"/>
      <c r="N4" s="7"/>
      <c r="O4" s="7"/>
    </row>
    <row r="5" customFormat="false" ht="15" hidden="false" customHeight="true" outlineLevel="0" collapsed="false">
      <c r="A5" s="6" t="s">
        <v>9</v>
      </c>
      <c r="B5" s="7" t="s">
        <v>10</v>
      </c>
      <c r="C5" s="7"/>
      <c r="D5" s="6" t="s">
        <v>11</v>
      </c>
      <c r="E5" s="7" t="s">
        <v>12</v>
      </c>
      <c r="F5" s="7"/>
      <c r="G5" s="6" t="s">
        <v>13</v>
      </c>
      <c r="H5" s="7" t="s">
        <v>14</v>
      </c>
      <c r="I5" s="7"/>
      <c r="J5" s="7"/>
      <c r="K5" s="7"/>
      <c r="L5" s="7"/>
      <c r="M5" s="7"/>
      <c r="N5" s="7"/>
      <c r="O5" s="7"/>
    </row>
    <row r="6" customFormat="false" ht="15" hidden="false" customHeight="true" outlineLevel="0" collapsed="false">
      <c r="A6" s="6" t="s">
        <v>15</v>
      </c>
      <c r="B6" s="7" t="s">
        <v>16</v>
      </c>
      <c r="C6" s="7"/>
      <c r="D6" s="6" t="s">
        <v>17</v>
      </c>
      <c r="E6" s="7" t="s">
        <v>18</v>
      </c>
      <c r="F6" s="7"/>
      <c r="G6" s="6" t="s">
        <v>19</v>
      </c>
      <c r="H6" s="7" t="s">
        <v>20</v>
      </c>
      <c r="I6" s="7"/>
      <c r="J6" s="7"/>
      <c r="K6" s="7"/>
      <c r="L6" s="7"/>
      <c r="M6" s="7"/>
      <c r="N6" s="7"/>
      <c r="O6" s="7"/>
    </row>
    <row r="7" customFormat="false" ht="15.75" hidden="false" customHeight="true" outlineLevel="0" collapsed="false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30" hidden="false" customHeight="true" outlineLevel="0" collapsed="false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32</v>
      </c>
      <c r="L8" s="9" t="s">
        <v>33</v>
      </c>
      <c r="M8" s="9" t="s">
        <v>34</v>
      </c>
      <c r="N8" s="9" t="s">
        <v>35</v>
      </c>
      <c r="O8" s="9" t="s">
        <v>36</v>
      </c>
    </row>
    <row r="9" customFormat="false" ht="19.5" hidden="false" customHeight="true" outlineLevel="0" collapsed="false">
      <c r="A9" s="10" t="n">
        <v>1</v>
      </c>
      <c r="B9" s="10" t="s">
        <v>37</v>
      </c>
      <c r="C9" s="11" t="s">
        <v>38</v>
      </c>
      <c r="D9" s="10" t="s">
        <v>39</v>
      </c>
      <c r="E9" s="10" t="s">
        <v>40</v>
      </c>
      <c r="F9" s="10" t="s">
        <v>41</v>
      </c>
      <c r="G9" s="10" t="n">
        <v>72</v>
      </c>
      <c r="H9" s="10" t="n">
        <v>88</v>
      </c>
      <c r="I9" s="12" t="n">
        <f aca="false">IF(AND(G9&lt;&gt;"",H9&lt;&gt;""),H9-G9,"")</f>
        <v>16</v>
      </c>
      <c r="J9" s="10" t="str">
        <f aca="false">IF(H9="","N/A",IF(H9&gt;=70,"PASS","FAIL"))</f>
        <v>PASS</v>
      </c>
      <c r="K9" s="10" t="s">
        <v>42</v>
      </c>
      <c r="L9" s="10" t="s">
        <v>43</v>
      </c>
      <c r="M9" s="10"/>
      <c r="N9" s="10" t="s">
        <v>44</v>
      </c>
      <c r="O9" s="10"/>
    </row>
    <row r="10" customFormat="false" ht="19.5" hidden="false" customHeight="true" outlineLevel="0" collapsed="false">
      <c r="A10" s="13" t="n">
        <v>2</v>
      </c>
      <c r="B10" s="13" t="s">
        <v>45</v>
      </c>
      <c r="C10" s="14" t="s">
        <v>46</v>
      </c>
      <c r="D10" s="13" t="s">
        <v>47</v>
      </c>
      <c r="E10" s="13" t="s">
        <v>48</v>
      </c>
      <c r="F10" s="13" t="s">
        <v>41</v>
      </c>
      <c r="G10" s="13" t="n">
        <v>65</v>
      </c>
      <c r="H10" s="13" t="n">
        <v>80</v>
      </c>
      <c r="I10" s="15" t="n">
        <f aca="false">IF(AND(G10&lt;&gt;"",H10&lt;&gt;""),H10-G10,"")</f>
        <v>15</v>
      </c>
      <c r="J10" s="13" t="str">
        <f aca="false">IF(H10="","N/A",IF(H10&gt;=70,"PASS","FAIL"))</f>
        <v>PASS</v>
      </c>
      <c r="K10" s="13" t="s">
        <v>42</v>
      </c>
      <c r="L10" s="13" t="s">
        <v>43</v>
      </c>
      <c r="M10" s="13"/>
      <c r="N10" s="13" t="s">
        <v>44</v>
      </c>
      <c r="O10" s="13"/>
    </row>
    <row r="11" customFormat="false" ht="19.5" hidden="false" customHeight="true" outlineLevel="0" collapsed="false">
      <c r="A11" s="10" t="n">
        <v>3</v>
      </c>
      <c r="B11" s="10" t="s">
        <v>49</v>
      </c>
      <c r="C11" s="11" t="s">
        <v>50</v>
      </c>
      <c r="D11" s="10" t="s">
        <v>39</v>
      </c>
      <c r="E11" s="10" t="s">
        <v>40</v>
      </c>
      <c r="F11" s="10" t="s">
        <v>41</v>
      </c>
      <c r="G11" s="10" t="n">
        <v>58</v>
      </c>
      <c r="H11" s="10" t="n">
        <v>71</v>
      </c>
      <c r="I11" s="12" t="n">
        <f aca="false">IF(AND(G11&lt;&gt;"",H11&lt;&gt;""),H11-G11,"")</f>
        <v>13</v>
      </c>
      <c r="J11" s="10" t="str">
        <f aca="false">IF(H11="","N/A",IF(H11&gt;=70,"PASS","FAIL"))</f>
        <v>PASS</v>
      </c>
      <c r="K11" s="10" t="s">
        <v>42</v>
      </c>
      <c r="L11" s="10" t="s">
        <v>43</v>
      </c>
      <c r="M11" s="10" t="s">
        <v>51</v>
      </c>
      <c r="N11" s="10" t="s">
        <v>44</v>
      </c>
      <c r="O11" s="10"/>
    </row>
    <row r="12" customFormat="false" ht="19.5" hidden="false" customHeight="true" outlineLevel="0" collapsed="false">
      <c r="A12" s="13" t="n">
        <v>4</v>
      </c>
      <c r="B12" s="13" t="s">
        <v>52</v>
      </c>
      <c r="C12" s="14" t="s">
        <v>53</v>
      </c>
      <c r="D12" s="13" t="s">
        <v>54</v>
      </c>
      <c r="E12" s="13" t="s">
        <v>55</v>
      </c>
      <c r="F12" s="13" t="s">
        <v>56</v>
      </c>
      <c r="G12" s="13"/>
      <c r="H12" s="13"/>
      <c r="I12" s="15" t="str">
        <f aca="false">IF(AND(G12&lt;&gt;"",H12&lt;&gt;""),H12-G12,"")</f>
        <v/>
      </c>
      <c r="J12" s="13" t="str">
        <f aca="false">IF(H12="","N/A",IF(H12&gt;=70,"PASS","FAIL"))</f>
        <v>N/A</v>
      </c>
      <c r="K12" s="13" t="s">
        <v>57</v>
      </c>
      <c r="L12" s="13"/>
      <c r="M12" s="13" t="s">
        <v>58</v>
      </c>
      <c r="N12" s="13"/>
      <c r="O12" s="13"/>
    </row>
    <row r="13" customFormat="false" ht="19.5" hidden="false" customHeight="true" outlineLevel="0" collapsed="false">
      <c r="A13" s="10" t="n">
        <v>5</v>
      </c>
      <c r="B13" s="10" t="s">
        <v>59</v>
      </c>
      <c r="C13" s="11" t="s">
        <v>60</v>
      </c>
      <c r="D13" s="10" t="s">
        <v>61</v>
      </c>
      <c r="E13" s="10" t="s">
        <v>40</v>
      </c>
      <c r="F13" s="10" t="s">
        <v>41</v>
      </c>
      <c r="G13" s="10" t="n">
        <v>80</v>
      </c>
      <c r="H13" s="10" t="n">
        <v>95</v>
      </c>
      <c r="I13" s="12" t="n">
        <f aca="false">IF(AND(G13&lt;&gt;"",H13&lt;&gt;""),H13-G13,"")</f>
        <v>15</v>
      </c>
      <c r="J13" s="10" t="str">
        <f aca="false">IF(H13="","N/A",IF(H13&gt;=70,"PASS","FAIL"))</f>
        <v>PASS</v>
      </c>
      <c r="K13" s="10" t="s">
        <v>42</v>
      </c>
      <c r="L13" s="10" t="s">
        <v>43</v>
      </c>
      <c r="M13" s="10"/>
      <c r="N13" s="10" t="s">
        <v>44</v>
      </c>
      <c r="O13" s="10"/>
    </row>
    <row r="14" customFormat="false" ht="18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 t="str">
        <f aca="false">IF(AND(G14&lt;&gt;"",H14&lt;&gt;""),H14-G14,"")</f>
        <v/>
      </c>
      <c r="J14" s="16" t="str">
        <f aca="false">IF(H14="","",IF(H14&gt;=70,"PASS","FAIL"))</f>
        <v/>
      </c>
      <c r="K14" s="16"/>
      <c r="L14" s="16"/>
      <c r="M14" s="16"/>
      <c r="N14" s="16"/>
      <c r="O14" s="16"/>
    </row>
    <row r="15" customFormat="false" ht="18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 t="str">
        <f aca="false">IF(AND(G15&lt;&gt;"",H15&lt;&gt;""),H15-G15,"")</f>
        <v/>
      </c>
      <c r="J15" s="7" t="str">
        <f aca="false">IF(H15="","",IF(H15&gt;=70,"PASS","FAIL"))</f>
        <v/>
      </c>
      <c r="K15" s="7"/>
      <c r="L15" s="7"/>
      <c r="M15" s="7"/>
      <c r="N15" s="7"/>
      <c r="O15" s="7"/>
    </row>
    <row r="16" customFormat="false" ht="18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 t="str">
        <f aca="false">IF(AND(G16&lt;&gt;"",H16&lt;&gt;""),H16-G16,"")</f>
        <v/>
      </c>
      <c r="J16" s="16" t="str">
        <f aca="false">IF(H16="","",IF(H16&gt;=70,"PASS","FAIL"))</f>
        <v/>
      </c>
      <c r="K16" s="16"/>
      <c r="L16" s="16"/>
      <c r="M16" s="16"/>
      <c r="N16" s="16"/>
      <c r="O16" s="16"/>
    </row>
    <row r="17" customFormat="false" ht="18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 t="str">
        <f aca="false">IF(AND(G17&lt;&gt;"",H17&lt;&gt;""),H17-G17,"")</f>
        <v/>
      </c>
      <c r="J17" s="7" t="str">
        <f aca="false">IF(H17="","",IF(H17&gt;=70,"PASS","FAIL"))</f>
        <v/>
      </c>
      <c r="K17" s="7"/>
      <c r="L17" s="7"/>
      <c r="M17" s="7"/>
      <c r="N17" s="7"/>
      <c r="O17" s="7"/>
    </row>
    <row r="18" customFormat="false" ht="18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 t="str">
        <f aca="false">IF(AND(G18&lt;&gt;"",H18&lt;&gt;""),H18-G18,"")</f>
        <v/>
      </c>
      <c r="J18" s="16" t="str">
        <f aca="false">IF(H18="","",IF(H18&gt;=70,"PASS","FAIL"))</f>
        <v/>
      </c>
      <c r="K18" s="16"/>
      <c r="L18" s="16"/>
      <c r="M18" s="16"/>
      <c r="N18" s="16"/>
      <c r="O18" s="16"/>
    </row>
    <row r="19" customFormat="false" ht="18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 t="str">
        <f aca="false">IF(AND(G19&lt;&gt;"",H19&lt;&gt;""),H19-G19,"")</f>
        <v/>
      </c>
      <c r="J19" s="7" t="str">
        <f aca="false">IF(H19="","",IF(H19&gt;=70,"PASS","FAIL"))</f>
        <v/>
      </c>
      <c r="K19" s="7"/>
      <c r="L19" s="7"/>
      <c r="M19" s="7"/>
      <c r="N19" s="7"/>
      <c r="O19" s="7"/>
    </row>
    <row r="20" customFormat="false" ht="18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 t="str">
        <f aca="false">IF(AND(G20&lt;&gt;"",H20&lt;&gt;""),H20-G20,"")</f>
        <v/>
      </c>
      <c r="J20" s="16" t="str">
        <f aca="false">IF(H20="","",IF(H20&gt;=70,"PASS","FAIL"))</f>
        <v/>
      </c>
      <c r="K20" s="16"/>
      <c r="L20" s="16"/>
      <c r="M20" s="16"/>
      <c r="N20" s="16"/>
      <c r="O20" s="16"/>
    </row>
    <row r="21" customFormat="false" ht="18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 t="str">
        <f aca="false">IF(AND(G21&lt;&gt;"",H21&lt;&gt;""),H21-G21,"")</f>
        <v/>
      </c>
      <c r="J21" s="7" t="str">
        <f aca="false">IF(H21="","",IF(H21&gt;=70,"PASS","FAIL"))</f>
        <v/>
      </c>
      <c r="K21" s="7"/>
      <c r="L21" s="7"/>
      <c r="M21" s="7"/>
      <c r="N21" s="7"/>
      <c r="O21" s="7"/>
    </row>
    <row r="22" customFormat="false" ht="18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 t="str">
        <f aca="false">IF(AND(G22&lt;&gt;"",H22&lt;&gt;""),H22-G22,"")</f>
        <v/>
      </c>
      <c r="J22" s="16" t="str">
        <f aca="false">IF(H22="","",IF(H22&gt;=70,"PASS","FAIL"))</f>
        <v/>
      </c>
      <c r="K22" s="16"/>
      <c r="L22" s="16"/>
      <c r="M22" s="16"/>
      <c r="N22" s="16"/>
      <c r="O22" s="16"/>
    </row>
    <row r="23" customFormat="false" ht="18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 t="str">
        <f aca="false">IF(AND(G23&lt;&gt;"",H23&lt;&gt;""),H23-G23,"")</f>
        <v/>
      </c>
      <c r="J23" s="7" t="str">
        <f aca="false">IF(H23="","",IF(H23&gt;=70,"PASS","FAIL"))</f>
        <v/>
      </c>
      <c r="K23" s="7"/>
      <c r="L23" s="7"/>
      <c r="M23" s="7"/>
      <c r="N23" s="7"/>
      <c r="O23" s="7"/>
    </row>
    <row r="24" customFormat="false" ht="18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 t="str">
        <f aca="false">IF(AND(G24&lt;&gt;"",H24&lt;&gt;""),H24-G24,"")</f>
        <v/>
      </c>
      <c r="J24" s="16" t="str">
        <f aca="false">IF(H24="","",IF(H24&gt;=70,"PASS","FAIL"))</f>
        <v/>
      </c>
      <c r="K24" s="16"/>
      <c r="L24" s="16"/>
      <c r="M24" s="16"/>
      <c r="N24" s="16"/>
      <c r="O24" s="16"/>
    </row>
    <row r="25" customFormat="false" ht="18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 t="str">
        <f aca="false">IF(AND(G25&lt;&gt;"",H25&lt;&gt;""),H25-G25,"")</f>
        <v/>
      </c>
      <c r="J25" s="7" t="str">
        <f aca="false">IF(H25="","",IF(H25&gt;=70,"PASS","FAIL"))</f>
        <v/>
      </c>
      <c r="K25" s="7"/>
      <c r="L25" s="7"/>
      <c r="M25" s="7"/>
      <c r="N25" s="7"/>
      <c r="O25" s="7"/>
    </row>
    <row r="26" customFormat="false" ht="18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 t="str">
        <f aca="false">IF(AND(G26&lt;&gt;"",H26&lt;&gt;""),H26-G26,"")</f>
        <v/>
      </c>
      <c r="J26" s="16" t="str">
        <f aca="false">IF(H26="","",IF(H26&gt;=70,"PASS","FAIL"))</f>
        <v/>
      </c>
      <c r="K26" s="16"/>
      <c r="L26" s="16"/>
      <c r="M26" s="16"/>
      <c r="N26" s="16"/>
      <c r="O26" s="16"/>
    </row>
    <row r="27" customFormat="false" ht="18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 t="str">
        <f aca="false">IF(AND(G27&lt;&gt;"",H27&lt;&gt;""),H27-G27,"")</f>
        <v/>
      </c>
      <c r="J27" s="7" t="str">
        <f aca="false">IF(H27="","",IF(H27&gt;=70,"PASS","FAIL"))</f>
        <v/>
      </c>
      <c r="K27" s="7"/>
      <c r="L27" s="7"/>
      <c r="M27" s="7"/>
      <c r="N27" s="7"/>
      <c r="O27" s="7"/>
    </row>
    <row r="28" customFormat="false" ht="18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 t="str">
        <f aca="false">IF(AND(G28&lt;&gt;"",H28&lt;&gt;""),H28-G28,"")</f>
        <v/>
      </c>
      <c r="J28" s="16" t="str">
        <f aca="false">IF(H28="","",IF(H28&gt;=70,"PASS","FAIL"))</f>
        <v/>
      </c>
      <c r="K28" s="16"/>
      <c r="L28" s="16"/>
      <c r="M28" s="16"/>
      <c r="N28" s="16"/>
      <c r="O28" s="16"/>
    </row>
    <row r="29" customFormat="false" ht="18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 t="str">
        <f aca="false">IF(AND(G29&lt;&gt;"",H29&lt;&gt;""),H29-G29,"")</f>
        <v/>
      </c>
      <c r="J29" s="7" t="str">
        <f aca="false">IF(H29="","",IF(H29&gt;=70,"PASS","FAIL"))</f>
        <v/>
      </c>
      <c r="K29" s="7"/>
      <c r="L29" s="7"/>
      <c r="M29" s="7"/>
      <c r="N29" s="7"/>
      <c r="O29" s="7"/>
    </row>
    <row r="30" customFormat="false" ht="18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 t="str">
        <f aca="false">IF(AND(G30&lt;&gt;"",H30&lt;&gt;""),H30-G30,"")</f>
        <v/>
      </c>
      <c r="J30" s="16" t="str">
        <f aca="false">IF(H30="","",IF(H30&gt;=70,"PASS","FAIL"))</f>
        <v/>
      </c>
      <c r="K30" s="16"/>
      <c r="L30" s="16"/>
      <c r="M30" s="16"/>
      <c r="N30" s="16"/>
      <c r="O30" s="16"/>
    </row>
    <row r="31" customFormat="false" ht="18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 t="str">
        <f aca="false">IF(AND(G31&lt;&gt;"",H31&lt;&gt;""),H31-G31,"")</f>
        <v/>
      </c>
      <c r="J31" s="7" t="str">
        <f aca="false">IF(H31="","",IF(H31&gt;=70,"PASS","FAIL"))</f>
        <v/>
      </c>
      <c r="K31" s="7"/>
      <c r="L31" s="7"/>
      <c r="M31" s="7"/>
      <c r="N31" s="7"/>
      <c r="O31" s="7"/>
    </row>
    <row r="32" customFormat="false" ht="18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 t="str">
        <f aca="false">IF(AND(G32&lt;&gt;"",H32&lt;&gt;""),H32-G32,"")</f>
        <v/>
      </c>
      <c r="J32" s="16" t="str">
        <f aca="false">IF(H32="","",IF(H32&gt;=70,"PASS","FAIL"))</f>
        <v/>
      </c>
      <c r="K32" s="16"/>
      <c r="L32" s="16"/>
      <c r="M32" s="16"/>
      <c r="N32" s="16"/>
      <c r="O32" s="16"/>
    </row>
    <row r="33" customFormat="false" ht="18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 t="str">
        <f aca="false">IF(AND(G33&lt;&gt;"",H33&lt;&gt;""),H33-G33,"")</f>
        <v/>
      </c>
      <c r="J33" s="7" t="str">
        <f aca="false">IF(H33="","",IF(H33&gt;=70,"PASS","FAIL"))</f>
        <v/>
      </c>
      <c r="K33" s="7"/>
      <c r="L33" s="7"/>
      <c r="M33" s="7"/>
      <c r="N33" s="7"/>
      <c r="O33" s="7"/>
    </row>
    <row r="34" customFormat="false" ht="18" hidden="false" customHeight="true" outlineLevel="0" collapsed="false">
      <c r="A34" s="16"/>
      <c r="B34" s="16"/>
      <c r="C34" s="16"/>
      <c r="D34" s="16"/>
      <c r="E34" s="16"/>
      <c r="F34" s="16"/>
      <c r="G34" s="16"/>
      <c r="H34" s="16"/>
      <c r="I34" s="16" t="str">
        <f aca="false">IF(AND(G34&lt;&gt;"",H34&lt;&gt;""),H34-G34,"")</f>
        <v/>
      </c>
      <c r="J34" s="16" t="str">
        <f aca="false">IF(H34="","",IF(H34&gt;=70,"PASS","FAIL"))</f>
        <v/>
      </c>
      <c r="K34" s="16"/>
      <c r="L34" s="16"/>
      <c r="M34" s="16"/>
      <c r="N34" s="16"/>
      <c r="O34" s="16"/>
    </row>
    <row r="36" customFormat="false" ht="15" hidden="false" customHeight="true" outlineLevel="0" collapsed="false">
      <c r="A36" s="17" t="s">
        <v>62</v>
      </c>
      <c r="B36" s="17"/>
      <c r="C36" s="17"/>
    </row>
    <row r="37" customFormat="false" ht="18" hidden="false" customHeight="true" outlineLevel="0" collapsed="false">
      <c r="A37" s="18" t="s">
        <v>63</v>
      </c>
      <c r="B37" s="19" t="n">
        <f aca="false">COUNTA(B9:B35)</f>
        <v>5</v>
      </c>
    </row>
    <row r="38" customFormat="false" ht="18" hidden="false" customHeight="true" outlineLevel="0" collapsed="false">
      <c r="A38" s="18" t="s">
        <v>64</v>
      </c>
      <c r="B38" s="19" t="n">
        <f aca="false">COUNTIF(F9:F35,"Present")</f>
        <v>4</v>
      </c>
    </row>
    <row r="39" customFormat="false" ht="18" hidden="false" customHeight="true" outlineLevel="0" collapsed="false">
      <c r="A39" s="18" t="s">
        <v>65</v>
      </c>
      <c r="B39" s="19" t="n">
        <f aca="false">COUNTIF(F9:F35,"Absent")</f>
        <v>1</v>
      </c>
    </row>
    <row r="40" customFormat="false" ht="18" hidden="false" customHeight="true" outlineLevel="0" collapsed="false">
      <c r="A40" s="18" t="s">
        <v>66</v>
      </c>
      <c r="B40" s="20" t="n">
        <f aca="false">IFERROR(B38/B37,0)</f>
        <v>0.8</v>
      </c>
    </row>
    <row r="41" customFormat="false" ht="18" hidden="false" customHeight="true" outlineLevel="0" collapsed="false">
      <c r="A41" s="18" t="s">
        <v>67</v>
      </c>
      <c r="B41" s="19" t="n">
        <f aca="false">COUNTIF(J9:J35,"PASS")</f>
        <v>4</v>
      </c>
    </row>
    <row r="42" customFormat="false" ht="18" hidden="false" customHeight="true" outlineLevel="0" collapsed="false">
      <c r="A42" s="18" t="s">
        <v>68</v>
      </c>
      <c r="B42" s="19" t="n">
        <f aca="false">COUNTIF(J9:J35,"FAIL")</f>
        <v>0</v>
      </c>
    </row>
    <row r="43" customFormat="false" ht="18" hidden="false" customHeight="true" outlineLevel="0" collapsed="false">
      <c r="A43" s="18" t="s">
        <v>69</v>
      </c>
      <c r="B43" s="20" t="n">
        <f aca="false">IFERROR(B41/(B41+B42),0)</f>
        <v>1</v>
      </c>
    </row>
    <row r="44" customFormat="false" ht="18" hidden="false" customHeight="true" outlineLevel="0" collapsed="false">
      <c r="A44" s="18" t="s">
        <v>70</v>
      </c>
      <c r="B44" s="19" t="n">
        <f aca="false">IFERROR(AVERAGEIF(F9:F35,"Present",G9:G35),"")</f>
        <v>68.75</v>
      </c>
    </row>
    <row r="45" customFormat="false" ht="18" hidden="false" customHeight="true" outlineLevel="0" collapsed="false">
      <c r="A45" s="18" t="s">
        <v>71</v>
      </c>
      <c r="B45" s="19" t="n">
        <f aca="false">IFERROR(AVERAGEIF(F9:F35,"Present",H9:H35),"")</f>
        <v>83.5</v>
      </c>
    </row>
    <row r="46" customFormat="false" ht="18" hidden="false" customHeight="true" outlineLevel="0" collapsed="false">
      <c r="A46" s="18" t="s">
        <v>72</v>
      </c>
      <c r="B46" s="19" t="n">
        <f aca="false">IFERROR(B45-B44,"")</f>
        <v>14.75</v>
      </c>
    </row>
    <row r="48" customFormat="false" ht="19.5" hidden="false" customHeight="true" outlineLevel="0" collapsed="false">
      <c r="A48" s="17" t="s">
        <v>73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customFormat="false" ht="15" hidden="false" customHeight="true" outlineLevel="0" collapsed="false">
      <c r="A49" s="21" t="s">
        <v>74</v>
      </c>
      <c r="B49" s="21"/>
      <c r="E49" s="21" t="s">
        <v>75</v>
      </c>
      <c r="F49" s="21"/>
      <c r="I49" s="21" t="s">
        <v>76</v>
      </c>
      <c r="J49" s="21"/>
      <c r="M49" s="21" t="s">
        <v>77</v>
      </c>
      <c r="N49" s="21"/>
    </row>
  </sheetData>
  <mergeCells count="20">
    <mergeCell ref="A1:O1"/>
    <mergeCell ref="A2:O2"/>
    <mergeCell ref="A3:C3"/>
    <mergeCell ref="D3:O3"/>
    <mergeCell ref="B4:C4"/>
    <mergeCell ref="E4:F4"/>
    <mergeCell ref="H4:O4"/>
    <mergeCell ref="B5:C5"/>
    <mergeCell ref="E5:F5"/>
    <mergeCell ref="H5:O5"/>
    <mergeCell ref="B6:C6"/>
    <mergeCell ref="E6:F6"/>
    <mergeCell ref="H6:O6"/>
    <mergeCell ref="A7:O7"/>
    <mergeCell ref="A36:C36"/>
    <mergeCell ref="A48:O48"/>
    <mergeCell ref="A49:B49"/>
    <mergeCell ref="E49:F49"/>
    <mergeCell ref="I49:J49"/>
    <mergeCell ref="M49:N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1" width="26"/>
  </cols>
  <sheetData>
    <row r="1" customFormat="false" ht="27.75" hidden="false" customHeight="true" outlineLevel="0" collapsed="false">
      <c r="A1" s="22" t="s">
        <v>78</v>
      </c>
      <c r="B1" s="22"/>
      <c r="C1" s="22"/>
      <c r="D1" s="22"/>
      <c r="E1" s="22"/>
      <c r="F1" s="22"/>
    </row>
    <row r="2" customFormat="false" ht="15" hidden="false" customHeight="true" outlineLevel="0" collapsed="false">
      <c r="B2" s="23" t="s">
        <v>79</v>
      </c>
      <c r="C2" s="23" t="s">
        <v>80</v>
      </c>
      <c r="D2" s="23" t="s">
        <v>81</v>
      </c>
      <c r="E2" s="23" t="s">
        <v>82</v>
      </c>
      <c r="F2" s="23" t="s">
        <v>83</v>
      </c>
    </row>
    <row r="3" customFormat="false" ht="15" hidden="false" customHeight="true" outlineLevel="0" collapsed="false">
      <c r="B3" s="24" t="s">
        <v>84</v>
      </c>
      <c r="C3" s="24" t="s">
        <v>20</v>
      </c>
      <c r="D3" s="24" t="s">
        <v>41</v>
      </c>
      <c r="E3" s="24" t="s">
        <v>85</v>
      </c>
      <c r="F3" s="24" t="s">
        <v>86</v>
      </c>
    </row>
    <row r="4" customFormat="false" ht="15" hidden="false" customHeight="true" outlineLevel="0" collapsed="false">
      <c r="B4" s="25" t="s">
        <v>87</v>
      </c>
      <c r="C4" s="25" t="s">
        <v>88</v>
      </c>
      <c r="D4" s="25" t="s">
        <v>56</v>
      </c>
      <c r="E4" s="25" t="s">
        <v>89</v>
      </c>
      <c r="F4" s="25" t="s">
        <v>90</v>
      </c>
    </row>
    <row r="5" customFormat="false" ht="15" hidden="false" customHeight="true" outlineLevel="0" collapsed="false">
      <c r="B5" s="24" t="s">
        <v>91</v>
      </c>
      <c r="C5" s="24" t="s">
        <v>92</v>
      </c>
      <c r="D5" s="24" t="s">
        <v>93</v>
      </c>
      <c r="E5" s="24" t="s">
        <v>94</v>
      </c>
      <c r="F5" s="24" t="s">
        <v>95</v>
      </c>
    </row>
    <row r="6" customFormat="false" ht="15" hidden="false" customHeight="true" outlineLevel="0" collapsed="false">
      <c r="B6" s="25" t="s">
        <v>96</v>
      </c>
      <c r="C6" s="25" t="s">
        <v>97</v>
      </c>
      <c r="D6" s="25" t="s">
        <v>98</v>
      </c>
      <c r="F6" s="25" t="s">
        <v>99</v>
      </c>
    </row>
    <row r="7" customFormat="false" ht="15" hidden="false" customHeight="true" outlineLevel="0" collapsed="false">
      <c r="B7" s="24" t="s">
        <v>100</v>
      </c>
      <c r="C7" s="24" t="s">
        <v>101</v>
      </c>
      <c r="D7" s="24" t="s">
        <v>102</v>
      </c>
      <c r="F7" s="24" t="s">
        <v>103</v>
      </c>
    </row>
    <row r="8" customFormat="false" ht="15" hidden="false" customHeight="true" outlineLevel="0" collapsed="false">
      <c r="C8" s="25" t="s">
        <v>104</v>
      </c>
      <c r="F8" s="25" t="s">
        <v>105</v>
      </c>
    </row>
    <row r="9" customFormat="false" ht="15" hidden="false" customHeight="true" outlineLevel="0" collapsed="false">
      <c r="C9" s="24" t="s">
        <v>106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14" min="3" style="1" width="9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7" min="17" style="1" width="10"/>
  </cols>
  <sheetData>
    <row r="1" customFormat="false" ht="30" hidden="false" customHeight="true" outlineLevel="0" collapsed="false">
      <c r="A1" s="26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customFormat="false" ht="15" hidden="false" customHeight="true" outlineLevel="0" collapsed="false">
      <c r="A2" s="27" t="s">
        <v>108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customFormat="false" ht="30" hidden="false" customHeight="true" outlineLevel="0" collapsed="false">
      <c r="A3" s="9" t="s">
        <v>26</v>
      </c>
      <c r="B3" s="9" t="s">
        <v>109</v>
      </c>
      <c r="C3" s="9" t="s">
        <v>110</v>
      </c>
      <c r="D3" s="9" t="s">
        <v>111</v>
      </c>
      <c r="E3" s="9" t="s">
        <v>112</v>
      </c>
      <c r="F3" s="9" t="s">
        <v>113</v>
      </c>
      <c r="G3" s="9" t="s">
        <v>114</v>
      </c>
      <c r="H3" s="9" t="s">
        <v>115</v>
      </c>
      <c r="I3" s="9" t="s">
        <v>116</v>
      </c>
      <c r="J3" s="9" t="s">
        <v>117</v>
      </c>
      <c r="K3" s="9" t="s">
        <v>118</v>
      </c>
      <c r="L3" s="9" t="s">
        <v>119</v>
      </c>
      <c r="M3" s="9" t="s">
        <v>120</v>
      </c>
      <c r="N3" s="9" t="s">
        <v>121</v>
      </c>
      <c r="O3" s="9" t="s">
        <v>122</v>
      </c>
      <c r="P3" s="9" t="s">
        <v>123</v>
      </c>
      <c r="Q3" s="9" t="s">
        <v>124</v>
      </c>
    </row>
    <row r="4" customFormat="false" ht="18" hidden="false" customHeight="true" outlineLevel="0" collapsed="false">
      <c r="A4" s="28" t="s">
        <v>125</v>
      </c>
      <c r="B4" s="29" t="s">
        <v>126</v>
      </c>
      <c r="C4" s="30" t="n">
        <v>12</v>
      </c>
      <c r="D4" s="30" t="n">
        <v>14</v>
      </c>
      <c r="E4" s="30" t="n">
        <v>11</v>
      </c>
      <c r="F4" s="30" t="n">
        <v>13</v>
      </c>
      <c r="G4" s="30" t="n">
        <v>15</v>
      </c>
      <c r="H4" s="30" t="n">
        <v>10</v>
      </c>
      <c r="I4" s="30" t="n">
        <v>12</v>
      </c>
      <c r="J4" s="30" t="n">
        <v>14</v>
      </c>
      <c r="K4" s="30" t="n">
        <v>13</v>
      </c>
      <c r="L4" s="30" t="n">
        <v>11</v>
      </c>
      <c r="M4" s="30" t="n">
        <v>10</v>
      </c>
      <c r="N4" s="30" t="n">
        <v>9</v>
      </c>
      <c r="O4" s="31" t="n">
        <f aca="false">SUM(C4:N4)</f>
        <v>144</v>
      </c>
      <c r="P4" s="32" t="n">
        <v>120</v>
      </c>
      <c r="Q4" s="32" t="str">
        <f aca="false">IF(O4&gt;=P4,"✅ On Track","⚠️ Review")</f>
        <v>✅ On Track</v>
      </c>
    </row>
    <row r="5" customFormat="false" ht="18" hidden="false" customHeight="true" outlineLevel="0" collapsed="false">
      <c r="A5" s="33"/>
      <c r="B5" s="29" t="s">
        <v>127</v>
      </c>
      <c r="C5" s="34" t="n">
        <v>145</v>
      </c>
      <c r="D5" s="34" t="n">
        <v>162</v>
      </c>
      <c r="E5" s="34" t="n">
        <v>131</v>
      </c>
      <c r="F5" s="34" t="n">
        <v>149</v>
      </c>
      <c r="G5" s="34" t="n">
        <v>178</v>
      </c>
      <c r="H5" s="34" t="n">
        <v>112</v>
      </c>
      <c r="I5" s="34" t="n">
        <v>138</v>
      </c>
      <c r="J5" s="34" t="n">
        <v>160</v>
      </c>
      <c r="K5" s="34" t="n">
        <v>148</v>
      </c>
      <c r="L5" s="34" t="n">
        <v>127</v>
      </c>
      <c r="M5" s="34" t="n">
        <v>118</v>
      </c>
      <c r="N5" s="34" t="n">
        <v>105</v>
      </c>
      <c r="O5" s="31" t="n">
        <f aca="false">SUM(C5:N5)</f>
        <v>1673</v>
      </c>
      <c r="P5" s="32" t="n">
        <v>1500</v>
      </c>
      <c r="Q5" s="32" t="str">
        <f aca="false">IF(O5&gt;=P5,"✅ On Track","⚠️ Review")</f>
        <v>✅ On Track</v>
      </c>
    </row>
    <row r="6" customFormat="false" ht="18" hidden="false" customHeight="true" outlineLevel="0" collapsed="false">
      <c r="A6" s="33"/>
      <c r="B6" s="29" t="s">
        <v>128</v>
      </c>
      <c r="C6" s="30" t="n">
        <v>87</v>
      </c>
      <c r="D6" s="30" t="n">
        <v>89</v>
      </c>
      <c r="E6" s="30" t="n">
        <v>85</v>
      </c>
      <c r="F6" s="30" t="n">
        <v>91</v>
      </c>
      <c r="G6" s="30" t="n">
        <v>88</v>
      </c>
      <c r="H6" s="30" t="n">
        <v>84</v>
      </c>
      <c r="I6" s="30" t="n">
        <v>86</v>
      </c>
      <c r="J6" s="30" t="n">
        <v>90</v>
      </c>
      <c r="K6" s="30" t="n">
        <v>88</v>
      </c>
      <c r="L6" s="30" t="n">
        <v>87</v>
      </c>
      <c r="M6" s="30" t="n">
        <v>83</v>
      </c>
      <c r="N6" s="30" t="n">
        <v>85</v>
      </c>
      <c r="O6" s="35" t="n">
        <f aca="false">AVERAGE(C6:N6)</f>
        <v>86.9166666666667</v>
      </c>
      <c r="P6" s="32" t="n">
        <v>85</v>
      </c>
      <c r="Q6" s="32" t="str">
        <f aca="false">IF(O6&gt;=P6,"✅ On Track","⚠️ Review")</f>
        <v>✅ On Track</v>
      </c>
    </row>
    <row r="7" customFormat="false" ht="18" hidden="false" customHeight="true" outlineLevel="0" collapsed="false">
      <c r="A7" s="33"/>
      <c r="B7" s="29" t="s">
        <v>129</v>
      </c>
      <c r="C7" s="34" t="n">
        <v>8.2</v>
      </c>
      <c r="D7" s="34" t="n">
        <v>9.1</v>
      </c>
      <c r="E7" s="34" t="n">
        <v>7.8</v>
      </c>
      <c r="F7" s="34" t="n">
        <v>10.2</v>
      </c>
      <c r="G7" s="34" t="n">
        <v>8.9</v>
      </c>
      <c r="H7" s="34" t="n">
        <v>7.5</v>
      </c>
      <c r="I7" s="34" t="n">
        <v>8.4</v>
      </c>
      <c r="J7" s="34" t="n">
        <v>9.3</v>
      </c>
      <c r="K7" s="34" t="n">
        <v>8.7</v>
      </c>
      <c r="L7" s="34" t="n">
        <v>8.1</v>
      </c>
      <c r="M7" s="34" t="n">
        <v>7.6</v>
      </c>
      <c r="N7" s="34" t="n">
        <v>8</v>
      </c>
      <c r="O7" s="31" t="n">
        <f aca="false">SUM(C7:N7)</f>
        <v>101.8</v>
      </c>
      <c r="P7" s="32" t="n">
        <v>8</v>
      </c>
      <c r="Q7" s="32" t="str">
        <f aca="false">IF(O7&gt;=P7,"✅ On Track","⚠️ Review")</f>
        <v>✅ On Track</v>
      </c>
    </row>
    <row r="9" customFormat="false" ht="18" hidden="false" customHeight="true" outlineLevel="0" collapsed="false">
      <c r="A9" s="28" t="s">
        <v>130</v>
      </c>
      <c r="B9" s="29" t="s">
        <v>126</v>
      </c>
      <c r="C9" s="34" t="n">
        <v>12</v>
      </c>
      <c r="D9" s="34" t="n">
        <v>14</v>
      </c>
      <c r="E9" s="34" t="n">
        <v>11</v>
      </c>
      <c r="F9" s="34" t="n">
        <v>13</v>
      </c>
      <c r="G9" s="34" t="n">
        <v>15</v>
      </c>
      <c r="H9" s="34" t="n">
        <v>10</v>
      </c>
      <c r="I9" s="34" t="n">
        <v>12</v>
      </c>
      <c r="J9" s="34" t="n">
        <v>14</v>
      </c>
      <c r="K9" s="34" t="n">
        <v>13</v>
      </c>
      <c r="L9" s="34" t="n">
        <v>11</v>
      </c>
      <c r="M9" s="34" t="n">
        <v>10</v>
      </c>
      <c r="N9" s="34" t="n">
        <v>9</v>
      </c>
      <c r="O9" s="31" t="n">
        <f aca="false">SUM(C9:N9)</f>
        <v>144</v>
      </c>
      <c r="P9" s="32" t="n">
        <v>120</v>
      </c>
      <c r="Q9" s="32" t="str">
        <f aca="false">IF(O9&gt;=P9,"✅ On Track","⚠️ Review")</f>
        <v>✅ On Track</v>
      </c>
    </row>
    <row r="10" customFormat="false" ht="18" hidden="false" customHeight="true" outlineLevel="0" collapsed="false">
      <c r="A10" s="33"/>
      <c r="B10" s="29" t="s">
        <v>127</v>
      </c>
      <c r="C10" s="30" t="n">
        <v>145</v>
      </c>
      <c r="D10" s="30" t="n">
        <v>162</v>
      </c>
      <c r="E10" s="30" t="n">
        <v>131</v>
      </c>
      <c r="F10" s="30" t="n">
        <v>149</v>
      </c>
      <c r="G10" s="30" t="n">
        <v>178</v>
      </c>
      <c r="H10" s="30" t="n">
        <v>112</v>
      </c>
      <c r="I10" s="30" t="n">
        <v>138</v>
      </c>
      <c r="J10" s="30" t="n">
        <v>160</v>
      </c>
      <c r="K10" s="30" t="n">
        <v>148</v>
      </c>
      <c r="L10" s="30" t="n">
        <v>127</v>
      </c>
      <c r="M10" s="30" t="n">
        <v>118</v>
      </c>
      <c r="N10" s="30" t="n">
        <v>105</v>
      </c>
      <c r="O10" s="31" t="n">
        <f aca="false">SUM(C10:N10)</f>
        <v>1673</v>
      </c>
      <c r="P10" s="32" t="n">
        <v>1500</v>
      </c>
      <c r="Q10" s="32" t="str">
        <f aca="false">IF(O10&gt;=P10,"✅ On Track","⚠️ Review")</f>
        <v>✅ On Track</v>
      </c>
    </row>
    <row r="11" customFormat="false" ht="18" hidden="false" customHeight="true" outlineLevel="0" collapsed="false">
      <c r="A11" s="33"/>
      <c r="B11" s="29" t="s">
        <v>128</v>
      </c>
      <c r="C11" s="34" t="n">
        <v>87</v>
      </c>
      <c r="D11" s="34" t="n">
        <v>89</v>
      </c>
      <c r="E11" s="34" t="n">
        <v>85</v>
      </c>
      <c r="F11" s="34" t="n">
        <v>91</v>
      </c>
      <c r="G11" s="34" t="n">
        <v>88</v>
      </c>
      <c r="H11" s="34" t="n">
        <v>84</v>
      </c>
      <c r="I11" s="34" t="n">
        <v>86</v>
      </c>
      <c r="J11" s="34" t="n">
        <v>90</v>
      </c>
      <c r="K11" s="34" t="n">
        <v>88</v>
      </c>
      <c r="L11" s="34" t="n">
        <v>87</v>
      </c>
      <c r="M11" s="34" t="n">
        <v>83</v>
      </c>
      <c r="N11" s="34" t="n">
        <v>85</v>
      </c>
      <c r="O11" s="35" t="n">
        <f aca="false">AVERAGE(C11:N11)</f>
        <v>86.9166666666667</v>
      </c>
      <c r="P11" s="32" t="n">
        <v>85</v>
      </c>
      <c r="Q11" s="32" t="str">
        <f aca="false">IF(O11&gt;=P11,"✅ On Track","⚠️ Review")</f>
        <v>✅ On Track</v>
      </c>
    </row>
    <row r="12" customFormat="false" ht="18" hidden="false" customHeight="true" outlineLevel="0" collapsed="false">
      <c r="A12" s="33"/>
      <c r="B12" s="29" t="s">
        <v>129</v>
      </c>
      <c r="C12" s="30" t="n">
        <v>8.2</v>
      </c>
      <c r="D12" s="30" t="n">
        <v>9.1</v>
      </c>
      <c r="E12" s="30" t="n">
        <v>7.8</v>
      </c>
      <c r="F12" s="30" t="n">
        <v>10.2</v>
      </c>
      <c r="G12" s="30" t="n">
        <v>8.9</v>
      </c>
      <c r="H12" s="30" t="n">
        <v>7.5</v>
      </c>
      <c r="I12" s="30" t="n">
        <v>8.4</v>
      </c>
      <c r="J12" s="30" t="n">
        <v>9.3</v>
      </c>
      <c r="K12" s="30" t="n">
        <v>8.7</v>
      </c>
      <c r="L12" s="30" t="n">
        <v>8.1</v>
      </c>
      <c r="M12" s="30" t="n">
        <v>7.6</v>
      </c>
      <c r="N12" s="30" t="n">
        <v>8</v>
      </c>
      <c r="O12" s="31" t="n">
        <f aca="false">SUM(C12:N12)</f>
        <v>101.8</v>
      </c>
      <c r="P12" s="32" t="n">
        <v>8</v>
      </c>
      <c r="Q12" s="32" t="str">
        <f aca="false">IF(O12&gt;=P12,"✅ On Track","⚠️ Review")</f>
        <v>✅ On Track</v>
      </c>
    </row>
    <row r="14" customFormat="false" ht="18" hidden="false" customHeight="true" outlineLevel="0" collapsed="false">
      <c r="A14" s="28" t="s">
        <v>91</v>
      </c>
      <c r="B14" s="29" t="s">
        <v>126</v>
      </c>
      <c r="C14" s="30" t="n">
        <v>12</v>
      </c>
      <c r="D14" s="30" t="n">
        <v>14</v>
      </c>
      <c r="E14" s="30" t="n">
        <v>11</v>
      </c>
      <c r="F14" s="30" t="n">
        <v>13</v>
      </c>
      <c r="G14" s="30" t="n">
        <v>15</v>
      </c>
      <c r="H14" s="30" t="n">
        <v>10</v>
      </c>
      <c r="I14" s="30" t="n">
        <v>12</v>
      </c>
      <c r="J14" s="30" t="n">
        <v>14</v>
      </c>
      <c r="K14" s="30" t="n">
        <v>13</v>
      </c>
      <c r="L14" s="30" t="n">
        <v>11</v>
      </c>
      <c r="M14" s="30" t="n">
        <v>10</v>
      </c>
      <c r="N14" s="30" t="n">
        <v>9</v>
      </c>
      <c r="O14" s="31" t="n">
        <f aca="false">SUM(C14:N14)</f>
        <v>144</v>
      </c>
      <c r="P14" s="32" t="n">
        <v>120</v>
      </c>
      <c r="Q14" s="32" t="str">
        <f aca="false">IF(O14&gt;=P14,"✅ On Track","⚠️ Review")</f>
        <v>✅ On Track</v>
      </c>
    </row>
    <row r="15" customFormat="false" ht="18" hidden="false" customHeight="true" outlineLevel="0" collapsed="false">
      <c r="A15" s="33"/>
      <c r="B15" s="29" t="s">
        <v>127</v>
      </c>
      <c r="C15" s="34" t="n">
        <v>145</v>
      </c>
      <c r="D15" s="34" t="n">
        <v>162</v>
      </c>
      <c r="E15" s="34" t="n">
        <v>131</v>
      </c>
      <c r="F15" s="34" t="n">
        <v>149</v>
      </c>
      <c r="G15" s="34" t="n">
        <v>178</v>
      </c>
      <c r="H15" s="34" t="n">
        <v>112</v>
      </c>
      <c r="I15" s="34" t="n">
        <v>138</v>
      </c>
      <c r="J15" s="34" t="n">
        <v>160</v>
      </c>
      <c r="K15" s="34" t="n">
        <v>148</v>
      </c>
      <c r="L15" s="34" t="n">
        <v>127</v>
      </c>
      <c r="M15" s="34" t="n">
        <v>118</v>
      </c>
      <c r="N15" s="34" t="n">
        <v>105</v>
      </c>
      <c r="O15" s="31" t="n">
        <f aca="false">SUM(C15:N15)</f>
        <v>1673</v>
      </c>
      <c r="P15" s="32" t="n">
        <v>1500</v>
      </c>
      <c r="Q15" s="32" t="str">
        <f aca="false">IF(O15&gt;=P15,"✅ On Track","⚠️ Review")</f>
        <v>✅ On Track</v>
      </c>
    </row>
    <row r="16" customFormat="false" ht="18" hidden="false" customHeight="true" outlineLevel="0" collapsed="false">
      <c r="A16" s="33"/>
      <c r="B16" s="29" t="s">
        <v>128</v>
      </c>
      <c r="C16" s="30" t="n">
        <v>87</v>
      </c>
      <c r="D16" s="30" t="n">
        <v>89</v>
      </c>
      <c r="E16" s="30" t="n">
        <v>85</v>
      </c>
      <c r="F16" s="30" t="n">
        <v>91</v>
      </c>
      <c r="G16" s="30" t="n">
        <v>88</v>
      </c>
      <c r="H16" s="30" t="n">
        <v>84</v>
      </c>
      <c r="I16" s="30" t="n">
        <v>86</v>
      </c>
      <c r="J16" s="30" t="n">
        <v>90</v>
      </c>
      <c r="K16" s="30" t="n">
        <v>88</v>
      </c>
      <c r="L16" s="30" t="n">
        <v>87</v>
      </c>
      <c r="M16" s="30" t="n">
        <v>83</v>
      </c>
      <c r="N16" s="30" t="n">
        <v>85</v>
      </c>
      <c r="O16" s="35" t="n">
        <f aca="false">AVERAGE(C16:N16)</f>
        <v>86.9166666666667</v>
      </c>
      <c r="P16" s="32" t="n">
        <v>85</v>
      </c>
      <c r="Q16" s="32" t="str">
        <f aca="false">IF(O16&gt;=P16,"✅ On Track","⚠️ Review")</f>
        <v>✅ On Track</v>
      </c>
    </row>
    <row r="17" customFormat="false" ht="18" hidden="false" customHeight="true" outlineLevel="0" collapsed="false">
      <c r="A17" s="33"/>
      <c r="B17" s="29" t="s">
        <v>129</v>
      </c>
      <c r="C17" s="34" t="n">
        <v>8.2</v>
      </c>
      <c r="D17" s="34" t="n">
        <v>9.1</v>
      </c>
      <c r="E17" s="34" t="n">
        <v>7.8</v>
      </c>
      <c r="F17" s="34" t="n">
        <v>10.2</v>
      </c>
      <c r="G17" s="34" t="n">
        <v>8.9</v>
      </c>
      <c r="H17" s="34" t="n">
        <v>7.5</v>
      </c>
      <c r="I17" s="34" t="n">
        <v>8.4</v>
      </c>
      <c r="J17" s="34" t="n">
        <v>9.3</v>
      </c>
      <c r="K17" s="34" t="n">
        <v>8.7</v>
      </c>
      <c r="L17" s="34" t="n">
        <v>8.1</v>
      </c>
      <c r="M17" s="34" t="n">
        <v>7.6</v>
      </c>
      <c r="N17" s="34" t="n">
        <v>8</v>
      </c>
      <c r="O17" s="31" t="n">
        <f aca="false">SUM(C17:N17)</f>
        <v>101.8</v>
      </c>
      <c r="P17" s="32" t="n">
        <v>8</v>
      </c>
      <c r="Q17" s="32" t="str">
        <f aca="false">IF(O17&gt;=P17,"✅ On Track","⚠️ Review")</f>
        <v>✅ On Track</v>
      </c>
    </row>
    <row r="19" customFormat="false" ht="18" hidden="false" customHeight="true" outlineLevel="0" collapsed="false">
      <c r="A19" s="28" t="s">
        <v>131</v>
      </c>
      <c r="B19" s="29" t="s">
        <v>126</v>
      </c>
      <c r="C19" s="34" t="n">
        <v>12</v>
      </c>
      <c r="D19" s="34" t="n">
        <v>14</v>
      </c>
      <c r="E19" s="34" t="n">
        <v>11</v>
      </c>
      <c r="F19" s="34" t="n">
        <v>13</v>
      </c>
      <c r="G19" s="34" t="n">
        <v>15</v>
      </c>
      <c r="H19" s="34" t="n">
        <v>10</v>
      </c>
      <c r="I19" s="34" t="n">
        <v>12</v>
      </c>
      <c r="J19" s="34" t="n">
        <v>14</v>
      </c>
      <c r="K19" s="34" t="n">
        <v>13</v>
      </c>
      <c r="L19" s="34" t="n">
        <v>11</v>
      </c>
      <c r="M19" s="34" t="n">
        <v>10</v>
      </c>
      <c r="N19" s="34" t="n">
        <v>9</v>
      </c>
      <c r="O19" s="31" t="n">
        <f aca="false">SUM(C19:N19)</f>
        <v>144</v>
      </c>
      <c r="P19" s="32" t="n">
        <v>120</v>
      </c>
      <c r="Q19" s="32" t="str">
        <f aca="false">IF(O19&gt;=P19,"✅ On Track","⚠️ Review")</f>
        <v>✅ On Track</v>
      </c>
    </row>
    <row r="20" customFormat="false" ht="18" hidden="false" customHeight="true" outlineLevel="0" collapsed="false">
      <c r="A20" s="33"/>
      <c r="B20" s="29" t="s">
        <v>127</v>
      </c>
      <c r="C20" s="30" t="n">
        <v>145</v>
      </c>
      <c r="D20" s="30" t="n">
        <v>162</v>
      </c>
      <c r="E20" s="30" t="n">
        <v>131</v>
      </c>
      <c r="F20" s="30" t="n">
        <v>149</v>
      </c>
      <c r="G20" s="30" t="n">
        <v>178</v>
      </c>
      <c r="H20" s="30" t="n">
        <v>112</v>
      </c>
      <c r="I20" s="30" t="n">
        <v>138</v>
      </c>
      <c r="J20" s="30" t="n">
        <v>160</v>
      </c>
      <c r="K20" s="30" t="n">
        <v>148</v>
      </c>
      <c r="L20" s="30" t="n">
        <v>127</v>
      </c>
      <c r="M20" s="30" t="n">
        <v>118</v>
      </c>
      <c r="N20" s="30" t="n">
        <v>105</v>
      </c>
      <c r="O20" s="31" t="n">
        <f aca="false">SUM(C20:N20)</f>
        <v>1673</v>
      </c>
      <c r="P20" s="32" t="n">
        <v>1500</v>
      </c>
      <c r="Q20" s="32" t="str">
        <f aca="false">IF(O20&gt;=P20,"✅ On Track","⚠️ Review")</f>
        <v>✅ On Track</v>
      </c>
    </row>
    <row r="21" customFormat="false" ht="18" hidden="false" customHeight="true" outlineLevel="0" collapsed="false">
      <c r="A21" s="33"/>
      <c r="B21" s="29" t="s">
        <v>128</v>
      </c>
      <c r="C21" s="34" t="n">
        <v>87</v>
      </c>
      <c r="D21" s="34" t="n">
        <v>89</v>
      </c>
      <c r="E21" s="34" t="n">
        <v>85</v>
      </c>
      <c r="F21" s="34" t="n">
        <v>91</v>
      </c>
      <c r="G21" s="34" t="n">
        <v>88</v>
      </c>
      <c r="H21" s="34" t="n">
        <v>84</v>
      </c>
      <c r="I21" s="34" t="n">
        <v>86</v>
      </c>
      <c r="J21" s="34" t="n">
        <v>90</v>
      </c>
      <c r="K21" s="34" t="n">
        <v>88</v>
      </c>
      <c r="L21" s="34" t="n">
        <v>87</v>
      </c>
      <c r="M21" s="34" t="n">
        <v>83</v>
      </c>
      <c r="N21" s="34" t="n">
        <v>85</v>
      </c>
      <c r="O21" s="35" t="n">
        <f aca="false">AVERAGE(C21:N21)</f>
        <v>86.9166666666667</v>
      </c>
      <c r="P21" s="32" t="n">
        <v>85</v>
      </c>
      <c r="Q21" s="32" t="str">
        <f aca="false">IF(O21&gt;=P21,"✅ On Track","⚠️ Review")</f>
        <v>✅ On Track</v>
      </c>
    </row>
    <row r="22" customFormat="false" ht="18" hidden="false" customHeight="true" outlineLevel="0" collapsed="false">
      <c r="A22" s="33"/>
      <c r="B22" s="29" t="s">
        <v>129</v>
      </c>
      <c r="C22" s="30" t="n">
        <v>8.2</v>
      </c>
      <c r="D22" s="30" t="n">
        <v>9.1</v>
      </c>
      <c r="E22" s="30" t="n">
        <v>7.8</v>
      </c>
      <c r="F22" s="30" t="n">
        <v>10.2</v>
      </c>
      <c r="G22" s="30" t="n">
        <v>8.9</v>
      </c>
      <c r="H22" s="30" t="n">
        <v>7.5</v>
      </c>
      <c r="I22" s="30" t="n">
        <v>8.4</v>
      </c>
      <c r="J22" s="30" t="n">
        <v>9.3</v>
      </c>
      <c r="K22" s="30" t="n">
        <v>8.7</v>
      </c>
      <c r="L22" s="30" t="n">
        <v>8.1</v>
      </c>
      <c r="M22" s="30" t="n">
        <v>7.6</v>
      </c>
      <c r="N22" s="30" t="n">
        <v>8</v>
      </c>
      <c r="O22" s="31" t="n">
        <f aca="false">SUM(C22:N22)</f>
        <v>101.8</v>
      </c>
      <c r="P22" s="32" t="n">
        <v>8</v>
      </c>
      <c r="Q22" s="32" t="str">
        <f aca="false">IF(O22&gt;=P22,"✅ On Track","⚠️ Review")</f>
        <v>✅ On Track</v>
      </c>
    </row>
    <row r="24" customFormat="false" ht="18" hidden="false" customHeight="true" outlineLevel="0" collapsed="false">
      <c r="A24" s="28" t="s">
        <v>100</v>
      </c>
      <c r="B24" s="29" t="s">
        <v>126</v>
      </c>
      <c r="C24" s="30" t="n">
        <v>12</v>
      </c>
      <c r="D24" s="30" t="n">
        <v>14</v>
      </c>
      <c r="E24" s="30" t="n">
        <v>11</v>
      </c>
      <c r="F24" s="30" t="n">
        <v>13</v>
      </c>
      <c r="G24" s="30" t="n">
        <v>15</v>
      </c>
      <c r="H24" s="30" t="n">
        <v>10</v>
      </c>
      <c r="I24" s="30" t="n">
        <v>12</v>
      </c>
      <c r="J24" s="30" t="n">
        <v>14</v>
      </c>
      <c r="K24" s="30" t="n">
        <v>13</v>
      </c>
      <c r="L24" s="30" t="n">
        <v>11</v>
      </c>
      <c r="M24" s="30" t="n">
        <v>10</v>
      </c>
      <c r="N24" s="30" t="n">
        <v>9</v>
      </c>
      <c r="O24" s="31" t="n">
        <f aca="false">SUM(C24:N24)</f>
        <v>144</v>
      </c>
      <c r="P24" s="32" t="n">
        <v>120</v>
      </c>
      <c r="Q24" s="32" t="str">
        <f aca="false">IF(O24&gt;=P24,"✅ On Track","⚠️ Review")</f>
        <v>✅ On Track</v>
      </c>
    </row>
    <row r="25" customFormat="false" ht="18" hidden="false" customHeight="true" outlineLevel="0" collapsed="false">
      <c r="A25" s="33"/>
      <c r="B25" s="29" t="s">
        <v>127</v>
      </c>
      <c r="C25" s="34" t="n">
        <v>145</v>
      </c>
      <c r="D25" s="34" t="n">
        <v>162</v>
      </c>
      <c r="E25" s="34" t="n">
        <v>131</v>
      </c>
      <c r="F25" s="34" t="n">
        <v>149</v>
      </c>
      <c r="G25" s="34" t="n">
        <v>178</v>
      </c>
      <c r="H25" s="34" t="n">
        <v>112</v>
      </c>
      <c r="I25" s="34" t="n">
        <v>138</v>
      </c>
      <c r="J25" s="34" t="n">
        <v>160</v>
      </c>
      <c r="K25" s="34" t="n">
        <v>148</v>
      </c>
      <c r="L25" s="34" t="n">
        <v>127</v>
      </c>
      <c r="M25" s="34" t="n">
        <v>118</v>
      </c>
      <c r="N25" s="34" t="n">
        <v>105</v>
      </c>
      <c r="O25" s="31" t="n">
        <f aca="false">SUM(C25:N25)</f>
        <v>1673</v>
      </c>
      <c r="P25" s="32" t="n">
        <v>1500</v>
      </c>
      <c r="Q25" s="32" t="str">
        <f aca="false">IF(O25&gt;=P25,"✅ On Track","⚠️ Review")</f>
        <v>✅ On Track</v>
      </c>
    </row>
    <row r="26" customFormat="false" ht="18" hidden="false" customHeight="true" outlineLevel="0" collapsed="false">
      <c r="A26" s="33"/>
      <c r="B26" s="29" t="s">
        <v>128</v>
      </c>
      <c r="C26" s="30" t="n">
        <v>87</v>
      </c>
      <c r="D26" s="30" t="n">
        <v>89</v>
      </c>
      <c r="E26" s="30" t="n">
        <v>85</v>
      </c>
      <c r="F26" s="30" t="n">
        <v>91</v>
      </c>
      <c r="G26" s="30" t="n">
        <v>88</v>
      </c>
      <c r="H26" s="30" t="n">
        <v>84</v>
      </c>
      <c r="I26" s="30" t="n">
        <v>86</v>
      </c>
      <c r="J26" s="30" t="n">
        <v>90</v>
      </c>
      <c r="K26" s="30" t="n">
        <v>88</v>
      </c>
      <c r="L26" s="30" t="n">
        <v>87</v>
      </c>
      <c r="M26" s="30" t="n">
        <v>83</v>
      </c>
      <c r="N26" s="30" t="n">
        <v>85</v>
      </c>
      <c r="O26" s="35" t="n">
        <f aca="false">AVERAGE(C26:N26)</f>
        <v>86.9166666666667</v>
      </c>
      <c r="P26" s="32" t="n">
        <v>85</v>
      </c>
      <c r="Q26" s="32" t="str">
        <f aca="false">IF(O26&gt;=P26,"✅ On Track","⚠️ Review")</f>
        <v>✅ On Track</v>
      </c>
    </row>
    <row r="27" customFormat="false" ht="18" hidden="false" customHeight="true" outlineLevel="0" collapsed="false">
      <c r="A27" s="33"/>
      <c r="B27" s="29" t="s">
        <v>129</v>
      </c>
      <c r="C27" s="34" t="n">
        <v>8.2</v>
      </c>
      <c r="D27" s="34" t="n">
        <v>9.1</v>
      </c>
      <c r="E27" s="34" t="n">
        <v>7.8</v>
      </c>
      <c r="F27" s="34" t="n">
        <v>10.2</v>
      </c>
      <c r="G27" s="34" t="n">
        <v>8.9</v>
      </c>
      <c r="H27" s="34" t="n">
        <v>7.5</v>
      </c>
      <c r="I27" s="34" t="n">
        <v>8.4</v>
      </c>
      <c r="J27" s="34" t="n">
        <v>9.3</v>
      </c>
      <c r="K27" s="34" t="n">
        <v>8.7</v>
      </c>
      <c r="L27" s="34" t="n">
        <v>8.1</v>
      </c>
      <c r="M27" s="34" t="n">
        <v>7.6</v>
      </c>
      <c r="N27" s="34" t="n">
        <v>8</v>
      </c>
      <c r="O27" s="31" t="n">
        <f aca="false">SUM(C27:N27)</f>
        <v>101.8</v>
      </c>
      <c r="P27" s="32" t="n">
        <v>8</v>
      </c>
      <c r="Q27" s="32" t="str">
        <f aca="false">IF(O27&gt;=P27,"✅ On Track","⚠️ Review")</f>
        <v>✅ On Track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2026-02-20T19:28:19Z</dcterms:created>
  <dc:creator>openpyxl</dc:creator>
  <dc:description/>
  <dc:language>en-US</dc:language>
  <cp:lastModifiedBy/>
  <dcterms:modified xsi:type="dcterms:W3CDTF">2026-02-20T19:47:54Z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