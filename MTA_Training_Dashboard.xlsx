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DATA" sheetId="2" state="visible" r:id="rId4"/>
    <sheet name="🚇 Unit 1" sheetId="3" state="visible" r:id="rId5"/>
    <sheet name="🏢 Unit 2" sheetId="4" state="visible" r:id="rId6"/>
    <sheet name="🔧 Unit 3" sheetId="5" state="visible" r:id="rId7"/>
    <sheet name="🦺 Unit 4" sheetId="6" state="visible" r:id="rId8"/>
    <sheet name="👔 Unit 5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<sst xmlns="http://schemas.openxmlformats.org/spreadsheetml/2006/main" count="283" uniqueCount="74">
  <si>
    <t xml:space="preserve">MTA – Department of Subways | Operations Training Division</t>
  </si>
  <si>
    <t xml:space="preserve">SERVICE DELIVERY TRAINING  ·  PERFORMANCE DASHBOARD  ·  FY2025</t>
  </si>
  <si>
    <t xml:space="preserve">  KEY PERFORMANCE INDICATORS  ·  YEAR-TO-DATE FY2025</t>
  </si>
  <si>
    <t xml:space="preserve">TOTAL CLASSES</t>
  </si>
  <si>
    <t xml:space="preserve">EMPLOYEES TRAINED</t>
  </si>
  <si>
    <t xml:space="preserve">DEPT PASS RATE</t>
  </si>
  <si>
    <t xml:space="preserve">AVG SCORE GAIN</t>
  </si>
  <si>
    <t xml:space="preserve">COMPLETION RATE</t>
  </si>
  <si>
    <t xml:space="preserve">+8.5 pts</t>
  </si>
  <si>
    <t xml:space="preserve">96.2%</t>
  </si>
  <si>
    <t xml:space="preserve">All 5 Units YTD</t>
  </si>
  <si>
    <t xml:space="preserve">Across All Units YTD</t>
  </si>
  <si>
    <t xml:space="preserve">Dept. Average</t>
  </si>
  <si>
    <t xml:space="preserve">Pre → Post Test</t>
  </si>
  <si>
    <t xml:space="preserve">Enrolled vs. Attended</t>
  </si>
  <si>
    <t xml:space="preserve">  UNIT PERFORMANCE SUMMARY  ·  YTD FY2025</t>
  </si>
  <si>
    <t xml:space="preserve">Unit</t>
  </si>
  <si>
    <t xml:space="preserve">Classes
Conducted</t>
  </si>
  <si>
    <t xml:space="preserve">Employees
Trained</t>
  </si>
  <si>
    <t xml:space="preserve">Pass Rate</t>
  </si>
  <si>
    <t xml:space="preserve">Avg Score
Improvement</t>
  </si>
  <si>
    <t xml:space="preserve">Completion
Rate</t>
  </si>
  <si>
    <t xml:space="preserve">Status</t>
  </si>
  <si>
    <t xml:space="preserve">Unit 1 – Train Ops</t>
  </si>
  <si>
    <t xml:space="preserve">97.2%</t>
  </si>
  <si>
    <t xml:space="preserve">✅ On Track</t>
  </si>
  <si>
    <t xml:space="preserve">Unit 2 – Station Ops</t>
  </si>
  <si>
    <t xml:space="preserve">+7.8 pts</t>
  </si>
  <si>
    <t xml:space="preserve">95.8%</t>
  </si>
  <si>
    <t xml:space="preserve">Unit 3 – Maintenance</t>
  </si>
  <si>
    <t xml:space="preserve">+9.2 pts</t>
  </si>
  <si>
    <t xml:space="preserve">98.1%</t>
  </si>
  <si>
    <t xml:space="preserve">Unit 4 – Safety</t>
  </si>
  <si>
    <t xml:space="preserve">+10.1 pts</t>
  </si>
  <si>
    <t xml:space="preserve">99.0%</t>
  </si>
  <si>
    <t xml:space="preserve">Unit 5 – Supervision</t>
  </si>
  <si>
    <t xml:space="preserve">+8.8 pts</t>
  </si>
  <si>
    <t xml:space="preserve">94.5%</t>
  </si>
  <si>
    <t xml:space="preserve">⚠️ Monitor</t>
  </si>
  <si>
    <t xml:space="preserve">DEPARTMENT TOTAL</t>
  </si>
  <si>
    <t xml:space="preserve">  TREND ANALYSIS  ·  MONTHLY PERFORMANCE</t>
  </si>
  <si>
    <t xml:space="preserve">Dashboard prepared by: [Your Name]  ·  Data as of: FY2025  ·  MTA – Department of Subways – Operations Training Division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</si>
  <si>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</si>
  <si>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</si>
  <si>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</si>
  <si>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</si>
  <si>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</si>
  <si>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</si>
  <si>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</si>
  <si>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</si>
  <si>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</si>
  <si>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</si>
  <si>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</si>
  <si>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</si>
  <si>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</si>
  <si>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Train Ops</t>
  </si>
  <si>
    <t xml:space="preserve">Station Ops</t>
  </si>
  <si>
    <t xml:space="preserve">Maintenance</t>
  </si>
  <si>
    <t xml:space="preserve">Safety</t>
  </si>
  <si>
    <t xml:space="preserve">Supervision</t>
  </si>
  <si>
    <t xml:space="preserve">Employees</t>
  </si>
  <si>
    <t xml:space="preserve">Classes Conducted</t>
  </si>
  <si>
    <t xml:space="preserve">Employees Trained</t>
  </si>
  <si>
    <t xml:space="preserve">Pass Rate %</t>
  </si>
  <si>
    <t xml:space="preserve">MTA Operations Training  |  Unit 1 – Train Ops  |  FY2025 Performance</t>
  </si>
  <si>
    <t xml:space="preserve">MONTHLY PERFORMANCE DATA</t>
  </si>
  <si>
    <t xml:space="preserve">Metric</t>
  </si>
  <si>
    <t xml:space="preserve">YTD</t>
  </si>
  <si>
    <t xml:space="preserve">Pass Rate (%)</t>
  </si>
  <si>
    <t xml:space="preserve">Classes</t>
  </si>
  <si>
    <t xml:space="preserve">MTA Operations Training  |  Unit 2 – Station Ops  |  FY2025 Performance</t>
  </si>
  <si>
    <t xml:space="preserve">MTA Operations Training  |  Unit 3 – Maintenance  |  FY2025 Performance</t>
  </si>
  <si>
    <t xml:space="preserve">MTA Operations Training  |  Unit 4 – Safety  |  FY2025 Performance</t>
  </si>
  <si>
    <t xml:space="preserve">MTA Operations Training  |  Unit 5 – Supervision  |  FY2025 Performance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</si>
</sst>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8"/>
      <color rgb="FF7F6000"/>
      <name val="Arial"/>
      <family val="0"/>
      <charset val="1"/>
    </font>
    <font>
      <b val="true"/>
      <sz val="8"/>
      <color rgb="FF843C0C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8"/>
      <color rgb="FF843C0C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A7EBB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4F81BD"/>
      <rgbColor rgb="FFBFBFBF"/>
      <rgbColor rgb="FF878787"/>
      <rgbColor rgb="FF8064A2"/>
      <rgbColor rgb="FFBE4B48"/>
      <rgbColor rgb="FFFFF2CC"/>
      <rgbColor rgb="FFD6E4F0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CE4D6"/>
      <rgbColor rgb="FF2E75B6"/>
      <rgbColor rgb="FF4BACC6"/>
      <rgbColor rgb="FF98B855"/>
      <rgbColor rgb="FFFFCC00"/>
      <rgbColor rgb="FFFF9900"/>
      <rgbColor rgb="FFFF6600"/>
      <rgbColor rgb="FF7D5FA0"/>
      <rgbColor rgb="FF9BBB59"/>
      <rgbColor rgb="FF1F3864"/>
      <rgbColor rgb="FF46AAC4"/>
      <rgbColor rgb="FF003300"/>
      <rgbColor rgb="FF333300"/>
      <rgbColor rgb="FF843C0C"/>
      <rgbColor rgb="FFC0504D"/>
      <rgbColor rgb="FF59595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Classes Conducted by Unit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"Train Ops"</c:f>
              <c:strCache>
                <c:ptCount val="1"/>
                <c:pt idx="0">
                  <c:v>Train Ops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Dashboard'!$C$55:$N$55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Dashboard'!$C$56:$N$56</c:f>
              <c:numCache>
                <c:formatCode>General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13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</c:ser>
        <c:ser>
          <c:idx val="1"/>
          <c:order val="1"/>
          <c:tx>
            <c:strRef>
              <c:f>"Station Ops"</c:f>
              <c:strCache>
                <c:ptCount val="1"/>
                <c:pt idx="0">
                  <c:v>Station Ops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Dashboard'!$C$55:$N$55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Dashboard'!$C$57:$N$57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</c:ser>
        <c:ser>
          <c:idx val="2"/>
          <c:order val="2"/>
          <c:tx>
            <c:strRef>
              <c:f>"Maintenance"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Dashboard'!$C$55:$N$55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Dashboard'!$C$58:$N$58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</c:ser>
        <c:ser>
          <c:idx val="3"/>
          <c:order val="3"/>
          <c:tx>
            <c:strRef>
              <c:f>"Safety"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Dashboard'!$C$55:$N$55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Dashboard'!$C$59:$N$59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</c:ser>
        <c:ser>
          <c:idx val="4"/>
          <c:order val="4"/>
          <c:tx>
            <c:strRef>
              <c:f>"Supervision"</c:f>
              <c:strCache>
                <c:ptCount val="1"/>
                <c:pt idx="0">
                  <c:v>Supervision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Dashboard'!$C$55:$N$55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Dashboard'!$C$60:$N$60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</c:ser>
        <c:gapWidth val="150"/>
        <c:overlap val="0"/>
        <c:axId val="38762052"/>
        <c:axId val="77979179"/>
      </c:barChart>
      <c:catAx>
        <c:axId val="38762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79179"/>
        <c:crosses val="autoZero"/>
        <c:auto val="1"/>
        <c:lblAlgn val="ctr"/>
        <c:lblOffset val="100"/>
        <c:noMultiLvlLbl val="0"/>
      </c:catAx>
      <c:valAx>
        <c:axId val="77979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62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Rate Trend by Unit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"Train Ops"</c:f>
              <c:strCache>
                <c:ptCount val="1"/>
                <c:pt idx="0">
                  <c:v>Train Ops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Dashboard'!$C$62:$N$62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Dashboard'!$C$63:$N$63</c:f>
              <c:numCache>
                <c:formatCode>General</c:formatCode>
                <c:ptCount val="12"/>
                <c:pt idx="0">
                  <c:v>0.87</c:v>
                </c:pt>
                <c:pt idx="1">
                  <c:v>0.89</c:v>
                </c:pt>
                <c:pt idx="2">
                  <c:v>0.85</c:v>
                </c:pt>
                <c:pt idx="3">
                  <c:v>0.91</c:v>
                </c:pt>
                <c:pt idx="4">
                  <c:v>0.88</c:v>
                </c:pt>
                <c:pt idx="5">
                  <c:v>0.84</c:v>
                </c:pt>
                <c:pt idx="6">
                  <c:v>0.86</c:v>
                </c:pt>
                <c:pt idx="7">
                  <c:v>0.9</c:v>
                </c:pt>
                <c:pt idx="8">
                  <c:v>0.88</c:v>
                </c:pt>
                <c:pt idx="9">
                  <c:v>0.87</c:v>
                </c:pt>
                <c:pt idx="10">
                  <c:v>0.83</c:v>
                </c:pt>
                <c:pt idx="11">
                  <c:v>0.85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"Station Ops"</c:f>
              <c:strCache>
                <c:ptCount val="1"/>
                <c:pt idx="0">
                  <c:v>Station Ops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Dashboard'!$C$62:$N$62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Dashboard'!$C$64:$N$64</c:f>
              <c:numCache>
                <c:formatCode>General</c:formatCode>
                <c:ptCount val="12"/>
                <c:pt idx="0">
                  <c:v>0.82</c:v>
                </c:pt>
                <c:pt idx="1">
                  <c:v>0.84</c:v>
                </c:pt>
                <c:pt idx="2">
                  <c:v>0.8</c:v>
                </c:pt>
                <c:pt idx="3">
                  <c:v>0.86</c:v>
                </c:pt>
                <c:pt idx="4">
                  <c:v>0.83</c:v>
                </c:pt>
                <c:pt idx="5">
                  <c:v>0.79</c:v>
                </c:pt>
                <c:pt idx="6">
                  <c:v>0.81</c:v>
                </c:pt>
                <c:pt idx="7">
                  <c:v>0.85</c:v>
                </c:pt>
                <c:pt idx="8">
                  <c:v>0.83</c:v>
                </c:pt>
                <c:pt idx="9">
                  <c:v>0.82</c:v>
                </c:pt>
                <c:pt idx="10">
                  <c:v>0.78</c:v>
                </c:pt>
                <c:pt idx="11">
                  <c:v>0.8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"Maintenance"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Dashboard'!$C$62:$N$62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Dashboard'!$C$65:$N$65</c:f>
              <c:numCache>
                <c:formatCode>General</c:formatCode>
                <c:ptCount val="12"/>
                <c:pt idx="0">
                  <c:v>0.9</c:v>
                </c:pt>
                <c:pt idx="1">
                  <c:v>0.91</c:v>
                </c:pt>
                <c:pt idx="2">
                  <c:v>0.88</c:v>
                </c:pt>
                <c:pt idx="3">
                  <c:v>0.93</c:v>
                </c:pt>
                <c:pt idx="4">
                  <c:v>0.91</c:v>
                </c:pt>
                <c:pt idx="5">
                  <c:v>0.87</c:v>
                </c:pt>
                <c:pt idx="6">
                  <c:v>0.89</c:v>
                </c:pt>
                <c:pt idx="7">
                  <c:v>0.92</c:v>
                </c:pt>
                <c:pt idx="8">
                  <c:v>0.9</c:v>
                </c:pt>
                <c:pt idx="9">
                  <c:v>0.89</c:v>
                </c:pt>
                <c:pt idx="10">
                  <c:v>0.86</c:v>
                </c:pt>
                <c:pt idx="11">
                  <c:v>0.88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"Safety"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Dashboard'!$C$62:$N$62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Dashboard'!$C$66:$N$66</c:f>
              <c:numCache>
                <c:formatCode>General</c:formatCode>
                <c:ptCount val="12"/>
                <c:pt idx="0">
                  <c:v>0.94</c:v>
                </c:pt>
                <c:pt idx="1">
                  <c:v>0.95</c:v>
                </c:pt>
                <c:pt idx="2">
                  <c:v>0.92</c:v>
                </c:pt>
                <c:pt idx="3">
                  <c:v>0.96</c:v>
                </c:pt>
                <c:pt idx="4">
                  <c:v>0.95</c:v>
                </c:pt>
                <c:pt idx="5">
                  <c:v>0.91</c:v>
                </c:pt>
                <c:pt idx="6">
                  <c:v>0.93</c:v>
                </c:pt>
                <c:pt idx="7">
                  <c:v>0.96</c:v>
                </c:pt>
                <c:pt idx="8">
                  <c:v>0.94</c:v>
                </c:pt>
                <c:pt idx="9">
                  <c:v>0.93</c:v>
                </c:pt>
                <c:pt idx="10">
                  <c:v>0.9</c:v>
                </c:pt>
                <c:pt idx="11">
                  <c:v>0.92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"Supervision"</c:f>
              <c:strCache>
                <c:ptCount val="1"/>
                <c:pt idx="0">
                  <c:v>Supervision</c:v>
                </c:pt>
              </c:strCache>
            </c:strRef>
          </c:tx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Dashboard'!$C$62:$N$62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Dashboard'!$C$67:$N$67</c:f>
              <c:numCache>
                <c:formatCode>General</c:formatCode>
                <c:ptCount val="12"/>
                <c:pt idx="0">
                  <c:v>0.88</c:v>
                </c:pt>
                <c:pt idx="1">
                  <c:v>0.9</c:v>
                </c:pt>
                <c:pt idx="2">
                  <c:v>0.86</c:v>
                </c:pt>
                <c:pt idx="3">
                  <c:v>0.92</c:v>
                </c:pt>
                <c:pt idx="4">
                  <c:v>0.9</c:v>
                </c:pt>
                <c:pt idx="5">
                  <c:v>0.85</c:v>
                </c:pt>
                <c:pt idx="6">
                  <c:v>0.87</c:v>
                </c:pt>
                <c:pt idx="7">
                  <c:v>0.91</c:v>
                </c:pt>
                <c:pt idx="8">
                  <c:v>0.89</c:v>
                </c:pt>
                <c:pt idx="9">
                  <c:v>0.88</c:v>
                </c:pt>
                <c:pt idx="10">
                  <c:v>0.84</c:v>
                </c:pt>
                <c:pt idx="11">
                  <c:v>0.86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792210"/>
        <c:axId val="28051386"/>
      </c:lineChart>
      <c:catAx>
        <c:axId val="867922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51386"/>
        <c:crosses val="autoZero"/>
        <c:auto val="1"/>
        <c:lblAlgn val="ctr"/>
        <c:lblOffset val="100"/>
        <c:noMultiLvlLbl val="0"/>
      </c:catAx>
      <c:valAx>
        <c:axId val="28051386"/>
        <c:scaling>
          <c:orientation val="minMax"/>
          <c:max val="1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92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Employees Trained by Unit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Dashboard'!C70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'📊 Dashboard'!$B$71:$B$75</c:f>
              <c:strCache>
                <c:ptCount val="5"/>
                <c:pt idx="0">
                  <c:v>Train Ops</c:v>
                </c:pt>
                <c:pt idx="1">
                  <c:v>Station Ops</c:v>
                </c:pt>
                <c:pt idx="2">
                  <c:v>Maintenance</c:v>
                </c:pt>
                <c:pt idx="3">
                  <c:v>Safety</c:v>
                </c:pt>
                <c:pt idx="4">
                  <c:v>Supervision</c:v>
                </c:pt>
              </c:strCache>
            </c:strRef>
          </c:cat>
          <c:val>
            <c:numRef>
              <c:f>'📊 Dashboard'!$C$71:$C$75</c:f>
              <c:numCache>
                <c:formatCode>General</c:formatCode>
                <c:ptCount val="5"/>
                <c:pt idx="0">
                  <c:v>1573</c:v>
                </c:pt>
                <c:pt idx="1">
                  <c:v>1005</c:v>
                </c:pt>
                <c:pt idx="2">
                  <c:v>746</c:v>
                </c:pt>
                <c:pt idx="3">
                  <c:v>530</c:v>
                </c:pt>
                <c:pt idx="4">
                  <c:v>333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Classes – Unit 1 – Train Ops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'🚇 Unit 1'!$B$9:$M$9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'🚇 Unit 1'!$B$10:$M$10</c:f>
              <c:numCache>
                <c:formatCode>General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13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</c:ser>
        <c:gapWidth val="150"/>
        <c:overlap val="0"/>
        <c:axId val="30357801"/>
        <c:axId val="50434989"/>
      </c:barChart>
      <c:catAx>
        <c:axId val="303578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34989"/>
        <c:crosses val="autoZero"/>
        <c:auto val="1"/>
        <c:lblAlgn val="ctr"/>
        <c:lblOffset val="100"/>
        <c:noMultiLvlLbl val="0"/>
      </c:catAx>
      <c:valAx>
        <c:axId val="50434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578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Classes – Unit 2 – Station Ops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'🏢 Unit 2'!$B$9:$M$9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'🏢 Unit 2'!$B$10:$M$10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</c:ser>
        <c:gapWidth val="150"/>
        <c:overlap val="0"/>
        <c:axId val="79662550"/>
        <c:axId val="56397052"/>
      </c:barChart>
      <c:catAx>
        <c:axId val="796625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97052"/>
        <c:crosses val="autoZero"/>
        <c:auto val="1"/>
        <c:lblAlgn val="ctr"/>
        <c:lblOffset val="100"/>
        <c:noMultiLvlLbl val="0"/>
      </c:catAx>
      <c:valAx>
        <c:axId val="56397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62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Classes – Unit 3 – Maintenance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'🔧 Unit 3'!$B$9:$M$9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'🔧 Unit 3'!$B$10:$M$10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</c:ser>
        <c:gapWidth val="150"/>
        <c:overlap val="0"/>
        <c:axId val="70432060"/>
        <c:axId val="43936279"/>
      </c:barChart>
      <c:catAx>
        <c:axId val="704320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36279"/>
        <c:crosses val="autoZero"/>
        <c:auto val="1"/>
        <c:lblAlgn val="ctr"/>
        <c:lblOffset val="100"/>
        <c:noMultiLvlLbl val="0"/>
      </c:catAx>
      <c:valAx>
        <c:axId val="43936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32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Classes – Unit 4 – Safety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'🦺 Unit 4'!$B$9:$M$9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'🦺 Unit 4'!$B$10:$M$10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</c:ser>
        <c:gapWidth val="150"/>
        <c:overlap val="0"/>
        <c:axId val="87073884"/>
        <c:axId val="99305472"/>
      </c:barChart>
      <c:catAx>
        <c:axId val="870738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05472"/>
        <c:crosses val="autoZero"/>
        <c:auto val="1"/>
        <c:lblAlgn val="ctr"/>
        <c:lblOffset val="100"/>
        <c:noMultiLvlLbl val="0"/>
      </c:catAx>
      <c:valAx>
        <c:axId val="99305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73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Classes – Unit 5 – Supervision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'👔 Unit 5'!$B$9:$M$9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'👔 Unit 5'!$B$10:$M$10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</c:ser>
        <c:gapWidth val="150"/>
        <c:overlap val="0"/>
        <c:axId val="15181428"/>
        <c:axId val="72917731"/>
      </c:barChart>
      <c:catAx>
        <c:axId val="151814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17731"/>
        <c:crosses val="autoZero"/>
        <c:auto val="1"/>
        <c:lblAlgn val="ctr"/>
        <c:lblOffset val="100"/>
        <c:noMultiLvlLbl val="0"/>
      </c:catAx>
      <c:valAx>
        <c:axId val="72917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814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105480</xdr:colOff>
      <xdr:row>36</xdr:row>
      <xdr:rowOff>170280</xdr:rowOff>
    </xdr:to>
    <xdr:graphicFrame>
      <xdr:nvGraphicFramePr>
        <xdr:cNvPr id="0" name="Chart 1"/>
        <xdr:cNvGraphicFramePr/>
      </xdr:nvGraphicFramePr>
      <xdr:xfrm>
        <a:off x="141120" y="46386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14</xdr:col>
      <xdr:colOff>951120</xdr:colOff>
      <xdr:row>36</xdr:row>
      <xdr:rowOff>170280</xdr:rowOff>
    </xdr:to>
    <xdr:graphicFrame>
      <xdr:nvGraphicFramePr>
        <xdr:cNvPr id="1" name="Chart 2"/>
        <xdr:cNvGraphicFramePr/>
      </xdr:nvGraphicFramePr>
      <xdr:xfrm>
        <a:off x="7189560" y="46386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21</xdr:row>
      <xdr:rowOff>0</xdr:rowOff>
    </xdr:from>
    <xdr:to>
      <xdr:col>21</xdr:col>
      <xdr:colOff>261720</xdr:colOff>
      <xdr:row>36</xdr:row>
      <xdr:rowOff>170280</xdr:rowOff>
    </xdr:to>
    <xdr:graphicFrame>
      <xdr:nvGraphicFramePr>
        <xdr:cNvPr id="2" name="Chart 3"/>
        <xdr:cNvGraphicFramePr/>
      </xdr:nvGraphicFramePr>
      <xdr:xfrm>
        <a:off x="13251240" y="4638600"/>
        <a:ext cx="35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402480</xdr:colOff>
      <xdr:row>28</xdr:row>
      <xdr:rowOff>170280</xdr:rowOff>
    </xdr:to>
    <xdr:graphicFrame>
      <xdr:nvGraphicFramePr>
        <xdr:cNvPr id="3" name="Chart 1"/>
        <xdr:cNvGraphicFramePr/>
      </xdr:nvGraphicFramePr>
      <xdr:xfrm>
        <a:off x="0" y="23241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402480</xdr:colOff>
      <xdr:row>28</xdr:row>
      <xdr:rowOff>170280</xdr:rowOff>
    </xdr:to>
    <xdr:graphicFrame>
      <xdr:nvGraphicFramePr>
        <xdr:cNvPr id="4" name="Chart 1"/>
        <xdr:cNvGraphicFramePr/>
      </xdr:nvGraphicFramePr>
      <xdr:xfrm>
        <a:off x="0" y="23241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402480</xdr:colOff>
      <xdr:row>28</xdr:row>
      <xdr:rowOff>170280</xdr:rowOff>
    </xdr:to>
    <xdr:graphicFrame>
      <xdr:nvGraphicFramePr>
        <xdr:cNvPr id="5" name="Chart 1"/>
        <xdr:cNvGraphicFramePr/>
      </xdr:nvGraphicFramePr>
      <xdr:xfrm>
        <a:off x="0" y="23241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402480</xdr:colOff>
      <xdr:row>28</xdr:row>
      <xdr:rowOff>170280</xdr:rowOff>
    </xdr:to>
    <xdr:graphicFrame>
      <xdr:nvGraphicFramePr>
        <xdr:cNvPr id="6" name="Chart 1"/>
        <xdr:cNvGraphicFramePr/>
      </xdr:nvGraphicFramePr>
      <xdr:xfrm>
        <a:off x="0" y="23241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402480</xdr:colOff>
      <xdr:row>28</xdr:row>
      <xdr:rowOff>170280</xdr:rowOff>
    </xdr:to>
    <xdr:graphicFrame>
      <xdr:nvGraphicFramePr>
        <xdr:cNvPr id="7" name="Chart 1"/>
        <xdr:cNvGraphicFramePr/>
      </xdr:nvGraphicFramePr>
      <xdr:xfrm>
        <a:off x="0" y="232416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6" min="2" style="1" width="14"/>
    <col collapsed="false" customWidth="true" hidden="false" outlineLevel="0" max="7" min="7" style="1" width="2"/>
    <col collapsed="false" customWidth="true" hidden="false" outlineLevel="0" max="12" min="8" style="1" width="14"/>
    <col collapsed="false" customWidth="true" hidden="false" outlineLevel="0" max="13" min="13" style="1" width="2"/>
    <col collapsed="false" customWidth="true" hidden="false" outlineLevel="0" max="18" min="14" style="1" width="14"/>
    <col collapsed="false" customWidth="true" hidden="false" outlineLevel="0" max="19" min="19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7.5" hidden="false" customHeight="true" outlineLevel="0" collapsed="false"/>
    <row r="5" customFormat="false" ht="13.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8" hidden="false" customHeight="true" outlineLevel="0" collapsed="false">
      <c r="B6" s="5" t="s">
        <v>3</v>
      </c>
      <c r="C6" s="5"/>
      <c r="D6" s="5"/>
      <c r="E6" s="6" t="s">
        <v>4</v>
      </c>
      <c r="F6" s="6"/>
      <c r="G6" s="6"/>
      <c r="H6" s="7" t="s">
        <v>5</v>
      </c>
      <c r="I6" s="7"/>
      <c r="J6" s="7"/>
      <c r="K6" s="8" t="s">
        <v>6</v>
      </c>
      <c r="L6" s="8"/>
      <c r="M6" s="8"/>
      <c r="N6" s="6" t="s">
        <v>7</v>
      </c>
      <c r="O6" s="6"/>
      <c r="P6" s="6"/>
    </row>
    <row r="7" customFormat="false" ht="18" hidden="false" customHeight="true" outlineLevel="0" collapsed="false">
      <c r="B7" s="9" t="n">
        <f aca="false">SUM(DATA!B3:M7)</f>
        <v>448</v>
      </c>
      <c r="C7" s="9"/>
      <c r="D7" s="9"/>
      <c r="E7" s="10" t="n">
        <f aca="false">SUM(DATA!B9:M13)</f>
        <v>4543</v>
      </c>
      <c r="F7" s="10"/>
      <c r="G7" s="10"/>
      <c r="H7" s="11" t="n">
        <f aca="false">AVERAGE(DATA!B15:M19)</f>
        <v>0.8795</v>
      </c>
      <c r="I7" s="11"/>
      <c r="J7" s="11"/>
      <c r="K7" s="12" t="s">
        <v>8</v>
      </c>
      <c r="L7" s="12"/>
      <c r="M7" s="12"/>
      <c r="N7" s="10" t="s">
        <v>9</v>
      </c>
      <c r="O7" s="10"/>
      <c r="P7" s="10"/>
    </row>
    <row r="8" customFormat="false" ht="18" hidden="false" customHeight="true" outlineLevel="0" collapsed="false">
      <c r="B8" s="9"/>
      <c r="C8" s="9"/>
      <c r="D8" s="9"/>
      <c r="E8" s="10"/>
      <c r="F8" s="10"/>
      <c r="G8" s="10"/>
      <c r="H8" s="11"/>
      <c r="I8" s="11"/>
      <c r="J8" s="11"/>
      <c r="K8" s="12"/>
      <c r="L8" s="12"/>
      <c r="M8" s="12"/>
      <c r="N8" s="10"/>
      <c r="O8" s="10"/>
      <c r="P8" s="10"/>
    </row>
    <row r="9" customFormat="false" ht="18" hidden="false" customHeight="true" outlineLevel="0" collapsed="false">
      <c r="B9" s="13" t="s">
        <v>10</v>
      </c>
      <c r="C9" s="13"/>
      <c r="D9" s="13"/>
      <c r="E9" s="14" t="s">
        <v>11</v>
      </c>
      <c r="F9" s="14"/>
      <c r="G9" s="14"/>
      <c r="H9" s="15" t="s">
        <v>12</v>
      </c>
      <c r="I9" s="15"/>
      <c r="J9" s="15"/>
      <c r="K9" s="16" t="s">
        <v>13</v>
      </c>
      <c r="L9" s="16"/>
      <c r="M9" s="16"/>
      <c r="N9" s="14" t="s">
        <v>14</v>
      </c>
      <c r="O9" s="14"/>
      <c r="P9" s="14"/>
    </row>
    <row r="10" customFormat="false" ht="18" hidden="false" customHeight="true" outlineLevel="0" collapsed="false">
      <c r="B10" s="17"/>
      <c r="C10" s="17"/>
      <c r="D10" s="17"/>
      <c r="E10" s="18"/>
      <c r="F10" s="18"/>
      <c r="G10" s="18"/>
      <c r="H10" s="19"/>
      <c r="I10" s="19"/>
      <c r="J10" s="19"/>
      <c r="K10" s="20"/>
      <c r="L10" s="20"/>
      <c r="M10" s="20"/>
      <c r="N10" s="18"/>
      <c r="O10" s="18"/>
      <c r="P10" s="18"/>
    </row>
    <row r="11" customFormat="false" ht="7.5" hidden="false" customHeight="true" outlineLevel="0" collapsed="false"/>
    <row r="12" customFormat="false" ht="13.5" hidden="false" customHeight="true" outlineLevel="0" collapsed="false">
      <c r="B12" s="4" t="s">
        <v>15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customFormat="false" ht="30" hidden="false" customHeight="true" outlineLevel="0" collapsed="false">
      <c r="B13" s="21" t="s">
        <v>16</v>
      </c>
      <c r="C13" s="21"/>
      <c r="D13" s="21" t="s">
        <v>17</v>
      </c>
      <c r="E13" s="21"/>
      <c r="F13" s="21" t="s">
        <v>18</v>
      </c>
      <c r="G13" s="21"/>
      <c r="H13" s="21" t="s">
        <v>19</v>
      </c>
      <c r="I13" s="21"/>
      <c r="J13" s="21" t="s">
        <v>20</v>
      </c>
      <c r="K13" s="21"/>
      <c r="L13" s="21" t="s">
        <v>21</v>
      </c>
      <c r="M13" s="21"/>
      <c r="N13" s="21" t="s">
        <v>22</v>
      </c>
      <c r="O13" s="21"/>
      <c r="P13" s="21"/>
    </row>
    <row r="14" customFormat="false" ht="19.5" hidden="false" customHeight="true" outlineLevel="0" collapsed="false">
      <c r="B14" s="22" t="s">
        <v>23</v>
      </c>
      <c r="C14" s="22"/>
      <c r="D14" s="23" t="n">
        <f aca="false">SUM(DATA!B3:M3)</f>
        <v>144</v>
      </c>
      <c r="E14" s="23"/>
      <c r="F14" s="23" t="n">
        <f aca="false">SUM(DATA!B9:M9)</f>
        <v>1673</v>
      </c>
      <c r="G14" s="23"/>
      <c r="H14" s="24" t="n">
        <f aca="false">AVERAGE(DATA!B15:M15)</f>
        <v>0.869166666666667</v>
      </c>
      <c r="I14" s="24"/>
      <c r="J14" s="23" t="s">
        <v>8</v>
      </c>
      <c r="K14" s="23"/>
      <c r="L14" s="23" t="s">
        <v>24</v>
      </c>
      <c r="M14" s="23"/>
      <c r="N14" s="25" t="s">
        <v>25</v>
      </c>
      <c r="O14" s="25"/>
      <c r="P14" s="25"/>
    </row>
    <row r="15" customFormat="false" ht="19.5" hidden="false" customHeight="true" outlineLevel="0" collapsed="false">
      <c r="B15" s="26" t="s">
        <v>26</v>
      </c>
      <c r="C15" s="26"/>
      <c r="D15" s="27" t="n">
        <f aca="false">SUM(DATA!B4:M4)</f>
        <v>104</v>
      </c>
      <c r="E15" s="27"/>
      <c r="F15" s="27" t="n">
        <f aca="false">SUM(DATA!B10:M10)</f>
        <v>1105</v>
      </c>
      <c r="G15" s="27"/>
      <c r="H15" s="28" t="n">
        <f aca="false">AVERAGE(DATA!B16:M16)</f>
        <v>0.819166666666667</v>
      </c>
      <c r="I15" s="28"/>
      <c r="J15" s="27" t="s">
        <v>27</v>
      </c>
      <c r="K15" s="27"/>
      <c r="L15" s="27" t="s">
        <v>28</v>
      </c>
      <c r="M15" s="27"/>
      <c r="N15" s="29" t="s">
        <v>25</v>
      </c>
      <c r="O15" s="29"/>
      <c r="P15" s="29"/>
    </row>
    <row r="16" customFormat="false" ht="19.5" hidden="false" customHeight="true" outlineLevel="0" collapsed="false">
      <c r="B16" s="22" t="s">
        <v>29</v>
      </c>
      <c r="C16" s="22"/>
      <c r="D16" s="23" t="n">
        <f aca="false">SUM(DATA!B5:M5)</f>
        <v>80</v>
      </c>
      <c r="E16" s="23"/>
      <c r="F16" s="23" t="n">
        <f aca="false">SUM(DATA!B11:M11)</f>
        <v>806</v>
      </c>
      <c r="G16" s="23"/>
      <c r="H16" s="24" t="n">
        <f aca="false">AVERAGE(DATA!B17:M17)</f>
        <v>0.895</v>
      </c>
      <c r="I16" s="24"/>
      <c r="J16" s="23" t="s">
        <v>30</v>
      </c>
      <c r="K16" s="23"/>
      <c r="L16" s="23" t="s">
        <v>31</v>
      </c>
      <c r="M16" s="23"/>
      <c r="N16" s="25" t="s">
        <v>25</v>
      </c>
      <c r="O16" s="25"/>
      <c r="P16" s="25"/>
    </row>
    <row r="17" customFormat="false" ht="19.5" hidden="false" customHeight="true" outlineLevel="0" collapsed="false">
      <c r="B17" s="26" t="s">
        <v>32</v>
      </c>
      <c r="C17" s="26"/>
      <c r="D17" s="27" t="n">
        <f aca="false">SUM(DATA!B6:M6)</f>
        <v>66</v>
      </c>
      <c r="E17" s="27"/>
      <c r="F17" s="27" t="n">
        <f aca="false">SUM(DATA!B12:M12)</f>
        <v>586</v>
      </c>
      <c r="G17" s="27"/>
      <c r="H17" s="28" t="n">
        <f aca="false">AVERAGE(DATA!B18:M18)</f>
        <v>0.934166666666667</v>
      </c>
      <c r="I17" s="28"/>
      <c r="J17" s="27" t="s">
        <v>33</v>
      </c>
      <c r="K17" s="27"/>
      <c r="L17" s="27" t="s">
        <v>34</v>
      </c>
      <c r="M17" s="27"/>
      <c r="N17" s="29" t="s">
        <v>25</v>
      </c>
      <c r="O17" s="29"/>
      <c r="P17" s="29"/>
    </row>
    <row r="18" customFormat="false" ht="19.5" hidden="false" customHeight="true" outlineLevel="0" collapsed="false">
      <c r="B18" s="22" t="s">
        <v>35</v>
      </c>
      <c r="C18" s="22"/>
      <c r="D18" s="23" t="n">
        <f aca="false">SUM(DATA!B7:M7)</f>
        <v>54</v>
      </c>
      <c r="E18" s="23"/>
      <c r="F18" s="23" t="n">
        <f aca="false">SUM(DATA!B13:M13)</f>
        <v>373</v>
      </c>
      <c r="G18" s="23"/>
      <c r="H18" s="24" t="n">
        <f aca="false">AVERAGE(DATA!B19:M19)</f>
        <v>0.88</v>
      </c>
      <c r="I18" s="24"/>
      <c r="J18" s="23" t="s">
        <v>36</v>
      </c>
      <c r="K18" s="23"/>
      <c r="L18" s="23" t="s">
        <v>37</v>
      </c>
      <c r="M18" s="23"/>
      <c r="N18" s="30" t="s">
        <v>38</v>
      </c>
      <c r="O18" s="30"/>
      <c r="P18" s="30"/>
    </row>
    <row r="19" customFormat="false" ht="19.5" hidden="false" customHeight="true" outlineLevel="0" collapsed="false">
      <c r="B19" s="31" t="s">
        <v>39</v>
      </c>
      <c r="C19" s="31"/>
      <c r="D19" s="32" t="n">
        <f aca="false">SUM(DATA!B3:M7)</f>
        <v>448</v>
      </c>
      <c r="E19" s="32"/>
      <c r="F19" s="32" t="n">
        <f aca="false">SUM(DATA!B9:M13)</f>
        <v>4543</v>
      </c>
      <c r="G19" s="32"/>
      <c r="H19" s="33" t="n">
        <f aca="false">AVERAGE(DATA!B15:M19)</f>
        <v>0.8795</v>
      </c>
      <c r="I19" s="33"/>
      <c r="J19" s="32" t="s">
        <v>8</v>
      </c>
      <c r="K19" s="32"/>
      <c r="L19" s="32" t="s">
        <v>9</v>
      </c>
      <c r="M19" s="32"/>
      <c r="N19" s="34" t="s">
        <v>25</v>
      </c>
      <c r="O19" s="34"/>
      <c r="P19" s="34"/>
    </row>
    <row r="20" customFormat="false" ht="7.5" hidden="false" customHeight="true" outlineLevel="0" collapsed="false"/>
    <row r="21" customFormat="false" ht="13.5" hidden="false" customHeight="true" outlineLevel="0" collapsed="false">
      <c r="B21" s="4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3.5" hidden="false" customHeight="true" outlineLevel="0" collapsed="false">
      <c r="B40" s="35" t="s">
        <v>41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</row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>
      <c r="B55" s="1" t="s">
        <v>42</v>
      </c>
      <c r="C55" s="1" t="s">
        <v>43</v>
      </c>
      <c r="D55" s="1" t="s">
        <v>44</v>
      </c>
      <c r="E55" s="1" t="s">
        <v>45</v>
      </c>
      <c r="F55" s="1" t="s">
        <v>46</v>
      </c>
      <c r="G55" s="1" t="s">
        <v>47</v>
      </c>
      <c r="H55" s="1" t="s">
        <v>48</v>
      </c>
      <c r="I55" s="1" t="s">
        <v>49</v>
      </c>
      <c r="J55" s="1" t="s">
        <v>50</v>
      </c>
      <c r="K55" s="1" t="s">
        <v>51</v>
      </c>
      <c r="L55" s="1" t="s">
        <v>52</v>
      </c>
      <c r="M55" s="1" t="s">
        <v>53</v>
      </c>
      <c r="N55" s="1" t="s">
        <v>54</v>
      </c>
    </row>
    <row r="56" customFormat="false" ht="18" hidden="false" customHeight="true" outlineLevel="0" collapsed="false">
      <c r="B56" s="1" t="s">
        <v>55</v>
      </c>
      <c r="C56" s="1" t="n">
        <v>12</v>
      </c>
      <c r="D56" s="1" t="n">
        <v>14</v>
      </c>
      <c r="E56" s="1" t="n">
        <v>11</v>
      </c>
      <c r="F56" s="1" t="n">
        <v>13</v>
      </c>
      <c r="G56" s="1" t="n">
        <v>15</v>
      </c>
      <c r="H56" s="1" t="n">
        <v>10</v>
      </c>
      <c r="I56" s="1" t="n">
        <v>12</v>
      </c>
      <c r="J56" s="1" t="n">
        <v>14</v>
      </c>
      <c r="K56" s="1" t="n">
        <v>13</v>
      </c>
      <c r="L56" s="1" t="n">
        <v>11</v>
      </c>
      <c r="M56" s="1" t="n">
        <v>10</v>
      </c>
      <c r="N56" s="1" t="n">
        <v>9</v>
      </c>
    </row>
    <row r="57" customFormat="false" ht="18" hidden="false" customHeight="true" outlineLevel="0" collapsed="false">
      <c r="B57" s="1" t="s">
        <v>56</v>
      </c>
      <c r="C57" s="1" t="n">
        <v>8</v>
      </c>
      <c r="D57" s="1" t="n">
        <v>9</v>
      </c>
      <c r="E57" s="1" t="n">
        <v>7</v>
      </c>
      <c r="F57" s="1" t="n">
        <v>10</v>
      </c>
      <c r="G57" s="1" t="n">
        <v>11</v>
      </c>
      <c r="H57" s="1" t="n">
        <v>8</v>
      </c>
      <c r="I57" s="1" t="n">
        <v>9</v>
      </c>
      <c r="J57" s="1" t="n">
        <v>10</v>
      </c>
      <c r="K57" s="1" t="n">
        <v>9</v>
      </c>
      <c r="L57" s="1" t="n">
        <v>8</v>
      </c>
      <c r="M57" s="1" t="n">
        <v>7</v>
      </c>
      <c r="N57" s="1" t="n">
        <v>8</v>
      </c>
    </row>
    <row r="58" customFormat="false" ht="18" hidden="false" customHeight="true" outlineLevel="0" collapsed="false">
      <c r="B58" s="1" t="s">
        <v>57</v>
      </c>
      <c r="C58" s="1" t="n">
        <v>6</v>
      </c>
      <c r="D58" s="1" t="n">
        <v>7</v>
      </c>
      <c r="E58" s="1" t="n">
        <v>5</v>
      </c>
      <c r="F58" s="1" t="n">
        <v>8</v>
      </c>
      <c r="G58" s="1" t="n">
        <v>9</v>
      </c>
      <c r="H58" s="1" t="n">
        <v>6</v>
      </c>
      <c r="I58" s="1" t="n">
        <v>7</v>
      </c>
      <c r="J58" s="1" t="n">
        <v>8</v>
      </c>
      <c r="K58" s="1" t="n">
        <v>7</v>
      </c>
      <c r="L58" s="1" t="n">
        <v>6</v>
      </c>
      <c r="M58" s="1" t="n">
        <v>5</v>
      </c>
      <c r="N58" s="1" t="n">
        <v>6</v>
      </c>
    </row>
    <row r="59" customFormat="false" ht="18" hidden="false" customHeight="true" outlineLevel="0" collapsed="false">
      <c r="B59" s="1" t="s">
        <v>58</v>
      </c>
      <c r="C59" s="1" t="n">
        <v>5</v>
      </c>
      <c r="D59" s="1" t="n">
        <v>6</v>
      </c>
      <c r="E59" s="1" t="n">
        <v>4</v>
      </c>
      <c r="F59" s="1" t="n">
        <v>6</v>
      </c>
      <c r="G59" s="1" t="n">
        <v>7</v>
      </c>
      <c r="H59" s="1" t="n">
        <v>5</v>
      </c>
      <c r="I59" s="1" t="n">
        <v>6</v>
      </c>
      <c r="J59" s="1" t="n">
        <v>7</v>
      </c>
      <c r="K59" s="1" t="n">
        <v>6</v>
      </c>
      <c r="L59" s="1" t="n">
        <v>5</v>
      </c>
      <c r="M59" s="1" t="n">
        <v>5</v>
      </c>
      <c r="N59" s="1" t="n">
        <v>4</v>
      </c>
    </row>
    <row r="60" customFormat="false" ht="18" hidden="false" customHeight="true" outlineLevel="0" collapsed="false">
      <c r="B60" s="1" t="s">
        <v>59</v>
      </c>
      <c r="C60" s="1" t="n">
        <v>4</v>
      </c>
      <c r="D60" s="1" t="n">
        <v>5</v>
      </c>
      <c r="E60" s="1" t="n">
        <v>3</v>
      </c>
      <c r="F60" s="1" t="n">
        <v>5</v>
      </c>
      <c r="G60" s="1" t="n">
        <v>6</v>
      </c>
      <c r="H60" s="1" t="n">
        <v>4</v>
      </c>
      <c r="I60" s="1" t="n">
        <v>5</v>
      </c>
      <c r="J60" s="1" t="n">
        <v>6</v>
      </c>
      <c r="K60" s="1" t="n">
        <v>5</v>
      </c>
      <c r="L60" s="1" t="n">
        <v>4</v>
      </c>
      <c r="M60" s="1" t="n">
        <v>4</v>
      </c>
      <c r="N60" s="1" t="n">
        <v>3</v>
      </c>
    </row>
    <row r="61" customFormat="false" ht="18" hidden="false" customHeight="true" outlineLevel="0" collapsed="false"/>
    <row r="62" customFormat="false" ht="18" hidden="false" customHeight="true" outlineLevel="0" collapsed="false">
      <c r="B62" s="1" t="s">
        <v>42</v>
      </c>
      <c r="C62" s="1" t="s">
        <v>43</v>
      </c>
      <c r="D62" s="1" t="s">
        <v>44</v>
      </c>
      <c r="E62" s="1" t="s">
        <v>45</v>
      </c>
      <c r="F62" s="1" t="s">
        <v>46</v>
      </c>
      <c r="G62" s="1" t="s">
        <v>47</v>
      </c>
      <c r="H62" s="1" t="s">
        <v>48</v>
      </c>
      <c r="I62" s="1" t="s">
        <v>49</v>
      </c>
      <c r="J62" s="1" t="s">
        <v>50</v>
      </c>
      <c r="K62" s="1" t="s">
        <v>51</v>
      </c>
      <c r="L62" s="1" t="s">
        <v>52</v>
      </c>
      <c r="M62" s="1" t="s">
        <v>53</v>
      </c>
      <c r="N62" s="1" t="s">
        <v>54</v>
      </c>
    </row>
    <row r="63" customFormat="false" ht="18" hidden="false" customHeight="true" outlineLevel="0" collapsed="false">
      <c r="B63" s="1" t="s">
        <v>55</v>
      </c>
      <c r="C63" s="1" t="n">
        <v>0.87</v>
      </c>
      <c r="D63" s="1" t="n">
        <v>0.89</v>
      </c>
      <c r="E63" s="1" t="n">
        <v>0.85</v>
      </c>
      <c r="F63" s="1" t="n">
        <v>0.91</v>
      </c>
      <c r="G63" s="1" t="n">
        <v>0.88</v>
      </c>
      <c r="H63" s="1" t="n">
        <v>0.84</v>
      </c>
      <c r="I63" s="1" t="n">
        <v>0.86</v>
      </c>
      <c r="J63" s="1" t="n">
        <v>0.9</v>
      </c>
      <c r="K63" s="1" t="n">
        <v>0.88</v>
      </c>
      <c r="L63" s="1" t="n">
        <v>0.87</v>
      </c>
      <c r="M63" s="1" t="n">
        <v>0.83</v>
      </c>
      <c r="N63" s="1" t="n">
        <v>0.85</v>
      </c>
    </row>
    <row r="64" customFormat="false" ht="18" hidden="false" customHeight="true" outlineLevel="0" collapsed="false">
      <c r="B64" s="1" t="s">
        <v>56</v>
      </c>
      <c r="C64" s="1" t="n">
        <v>0.82</v>
      </c>
      <c r="D64" s="1" t="n">
        <v>0.84</v>
      </c>
      <c r="E64" s="1" t="n">
        <v>0.8</v>
      </c>
      <c r="F64" s="1" t="n">
        <v>0.86</v>
      </c>
      <c r="G64" s="1" t="n">
        <v>0.83</v>
      </c>
      <c r="H64" s="1" t="n">
        <v>0.79</v>
      </c>
      <c r="I64" s="1" t="n">
        <v>0.81</v>
      </c>
      <c r="J64" s="1" t="n">
        <v>0.85</v>
      </c>
      <c r="K64" s="1" t="n">
        <v>0.83</v>
      </c>
      <c r="L64" s="1" t="n">
        <v>0.82</v>
      </c>
      <c r="M64" s="1" t="n">
        <v>0.78</v>
      </c>
      <c r="N64" s="1" t="n">
        <v>0.8</v>
      </c>
    </row>
    <row r="65" customFormat="false" ht="18" hidden="false" customHeight="true" outlineLevel="0" collapsed="false">
      <c r="B65" s="1" t="s">
        <v>57</v>
      </c>
      <c r="C65" s="1" t="n">
        <v>0.9</v>
      </c>
      <c r="D65" s="1" t="n">
        <v>0.91</v>
      </c>
      <c r="E65" s="1" t="n">
        <v>0.88</v>
      </c>
      <c r="F65" s="1" t="n">
        <v>0.93</v>
      </c>
      <c r="G65" s="1" t="n">
        <v>0.91</v>
      </c>
      <c r="H65" s="1" t="n">
        <v>0.87</v>
      </c>
      <c r="I65" s="1" t="n">
        <v>0.89</v>
      </c>
      <c r="J65" s="1" t="n">
        <v>0.92</v>
      </c>
      <c r="K65" s="1" t="n">
        <v>0.9</v>
      </c>
      <c r="L65" s="1" t="n">
        <v>0.89</v>
      </c>
      <c r="M65" s="1" t="n">
        <v>0.86</v>
      </c>
      <c r="N65" s="1" t="n">
        <v>0.88</v>
      </c>
    </row>
    <row r="66" customFormat="false" ht="18" hidden="false" customHeight="true" outlineLevel="0" collapsed="false">
      <c r="B66" s="1" t="s">
        <v>58</v>
      </c>
      <c r="C66" s="1" t="n">
        <v>0.94</v>
      </c>
      <c r="D66" s="1" t="n">
        <v>0.95</v>
      </c>
      <c r="E66" s="1" t="n">
        <v>0.92</v>
      </c>
      <c r="F66" s="1" t="n">
        <v>0.96</v>
      </c>
      <c r="G66" s="1" t="n">
        <v>0.95</v>
      </c>
      <c r="H66" s="1" t="n">
        <v>0.91</v>
      </c>
      <c r="I66" s="1" t="n">
        <v>0.93</v>
      </c>
      <c r="J66" s="1" t="n">
        <v>0.96</v>
      </c>
      <c r="K66" s="1" t="n">
        <v>0.94</v>
      </c>
      <c r="L66" s="1" t="n">
        <v>0.93</v>
      </c>
      <c r="M66" s="1" t="n">
        <v>0.9</v>
      </c>
      <c r="N66" s="1" t="n">
        <v>0.92</v>
      </c>
    </row>
    <row r="67" customFormat="false" ht="18" hidden="false" customHeight="true" outlineLevel="0" collapsed="false">
      <c r="B67" s="1" t="s">
        <v>59</v>
      </c>
      <c r="C67" s="1" t="n">
        <v>0.88</v>
      </c>
      <c r="D67" s="1" t="n">
        <v>0.9</v>
      </c>
      <c r="E67" s="1" t="n">
        <v>0.86</v>
      </c>
      <c r="F67" s="1" t="n">
        <v>0.92</v>
      </c>
      <c r="G67" s="1" t="n">
        <v>0.9</v>
      </c>
      <c r="H67" s="1" t="n">
        <v>0.85</v>
      </c>
      <c r="I67" s="1" t="n">
        <v>0.87</v>
      </c>
      <c r="J67" s="1" t="n">
        <v>0.91</v>
      </c>
      <c r="K67" s="1" t="n">
        <v>0.89</v>
      </c>
      <c r="L67" s="1" t="n">
        <v>0.88</v>
      </c>
      <c r="M67" s="1" t="n">
        <v>0.84</v>
      </c>
      <c r="N67" s="1" t="n">
        <v>0.86</v>
      </c>
    </row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>
      <c r="B70" s="1" t="s">
        <v>16</v>
      </c>
      <c r="C70" s="1" t="s">
        <v>60</v>
      </c>
    </row>
    <row r="71" customFormat="false" ht="18" hidden="false" customHeight="true" outlineLevel="0" collapsed="false">
      <c r="B71" s="1" t="s">
        <v>55</v>
      </c>
      <c r="C71" s="1" t="n">
        <v>1573</v>
      </c>
    </row>
    <row r="72" customFormat="false" ht="18" hidden="false" customHeight="true" outlineLevel="0" collapsed="false">
      <c r="B72" s="1" t="s">
        <v>56</v>
      </c>
      <c r="C72" s="1" t="n">
        <v>1005</v>
      </c>
    </row>
    <row r="73" customFormat="false" ht="18" hidden="false" customHeight="true" outlineLevel="0" collapsed="false">
      <c r="B73" s="1" t="s">
        <v>57</v>
      </c>
      <c r="C73" s="1" t="n">
        <v>746</v>
      </c>
    </row>
    <row r="74" customFormat="false" ht="18" hidden="false" customHeight="true" outlineLevel="0" collapsed="false">
      <c r="B74" s="1" t="s">
        <v>58</v>
      </c>
      <c r="C74" s="1" t="n">
        <v>530</v>
      </c>
    </row>
    <row r="75" customFormat="false" ht="18" hidden="false" customHeight="true" outlineLevel="0" collapsed="false">
      <c r="B75" s="1" t="s">
        <v>59</v>
      </c>
      <c r="C75" s="1" t="n">
        <v>333</v>
      </c>
    </row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70">
    <mergeCell ref="A2:S2"/>
    <mergeCell ref="A3:S3"/>
    <mergeCell ref="B5:S5"/>
    <mergeCell ref="B6:D6"/>
    <mergeCell ref="E6:G6"/>
    <mergeCell ref="H6:J6"/>
    <mergeCell ref="K6:M6"/>
    <mergeCell ref="N6:P6"/>
    <mergeCell ref="B7:D8"/>
    <mergeCell ref="E7:G8"/>
    <mergeCell ref="H7:J8"/>
    <mergeCell ref="K7:M8"/>
    <mergeCell ref="N7:P8"/>
    <mergeCell ref="B9:D9"/>
    <mergeCell ref="E9:G9"/>
    <mergeCell ref="H9:J9"/>
    <mergeCell ref="K9:M9"/>
    <mergeCell ref="N9:P9"/>
    <mergeCell ref="B12:S12"/>
    <mergeCell ref="B13:C13"/>
    <mergeCell ref="D13:E13"/>
    <mergeCell ref="F13:G13"/>
    <mergeCell ref="H13:I13"/>
    <mergeCell ref="J13:K13"/>
    <mergeCell ref="L13:M13"/>
    <mergeCell ref="N13:P13"/>
    <mergeCell ref="B14:C14"/>
    <mergeCell ref="D14:E14"/>
    <mergeCell ref="F14:G14"/>
    <mergeCell ref="H14:I14"/>
    <mergeCell ref="J14:K14"/>
    <mergeCell ref="L14:M14"/>
    <mergeCell ref="N14:P14"/>
    <mergeCell ref="B15:C15"/>
    <mergeCell ref="D15:E15"/>
    <mergeCell ref="F15:G15"/>
    <mergeCell ref="H15:I15"/>
    <mergeCell ref="J15:K15"/>
    <mergeCell ref="L15:M15"/>
    <mergeCell ref="N15:P15"/>
    <mergeCell ref="B16:C16"/>
    <mergeCell ref="D16:E16"/>
    <mergeCell ref="F16:G16"/>
    <mergeCell ref="H16:I16"/>
    <mergeCell ref="J16:K16"/>
    <mergeCell ref="L16:M16"/>
    <mergeCell ref="N16:P16"/>
    <mergeCell ref="B17:C17"/>
    <mergeCell ref="D17:E17"/>
    <mergeCell ref="F17:G17"/>
    <mergeCell ref="H17:I17"/>
    <mergeCell ref="J17:K17"/>
    <mergeCell ref="L17:M17"/>
    <mergeCell ref="N17:P17"/>
    <mergeCell ref="B18:C18"/>
    <mergeCell ref="D18:E18"/>
    <mergeCell ref="F18:G18"/>
    <mergeCell ref="H18:I18"/>
    <mergeCell ref="J18:K18"/>
    <mergeCell ref="L18:M18"/>
    <mergeCell ref="N18:P18"/>
    <mergeCell ref="B19:C19"/>
    <mergeCell ref="D19:E19"/>
    <mergeCell ref="F19:G19"/>
    <mergeCell ref="H19:I19"/>
    <mergeCell ref="J19:K19"/>
    <mergeCell ref="L19:M19"/>
    <mergeCell ref="N19:P19"/>
    <mergeCell ref="B21:S21"/>
    <mergeCell ref="B40:S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customFormat="false" ht="15" hidden="false" customHeight="true" outlineLevel="0" collapsed="false">
      <c r="A2" s="1" t="s">
        <v>61</v>
      </c>
    </row>
    <row r="3" customFormat="false" ht="15" hidden="false" customHeight="true" outlineLevel="0" collapsed="false">
      <c r="A3" s="1" t="s">
        <v>23</v>
      </c>
      <c r="B3" s="1" t="n">
        <v>12</v>
      </c>
      <c r="C3" s="1" t="n">
        <v>14</v>
      </c>
      <c r="D3" s="1" t="n">
        <v>11</v>
      </c>
      <c r="E3" s="1" t="n">
        <v>13</v>
      </c>
      <c r="F3" s="1" t="n">
        <v>15</v>
      </c>
      <c r="G3" s="1" t="n">
        <v>10</v>
      </c>
      <c r="H3" s="1" t="n">
        <v>12</v>
      </c>
      <c r="I3" s="1" t="n">
        <v>14</v>
      </c>
      <c r="J3" s="1" t="n">
        <v>13</v>
      </c>
      <c r="K3" s="1" t="n">
        <v>11</v>
      </c>
      <c r="L3" s="1" t="n">
        <v>10</v>
      </c>
      <c r="M3" s="1" t="n">
        <v>9</v>
      </c>
    </row>
    <row r="4" customFormat="false" ht="15" hidden="false" customHeight="true" outlineLevel="0" collapsed="false">
      <c r="A4" s="1" t="s">
        <v>26</v>
      </c>
      <c r="B4" s="1" t="n">
        <v>8</v>
      </c>
      <c r="C4" s="1" t="n">
        <v>9</v>
      </c>
      <c r="D4" s="1" t="n">
        <v>7</v>
      </c>
      <c r="E4" s="1" t="n">
        <v>10</v>
      </c>
      <c r="F4" s="1" t="n">
        <v>11</v>
      </c>
      <c r="G4" s="1" t="n">
        <v>8</v>
      </c>
      <c r="H4" s="1" t="n">
        <v>9</v>
      </c>
      <c r="I4" s="1" t="n">
        <v>10</v>
      </c>
      <c r="J4" s="1" t="n">
        <v>9</v>
      </c>
      <c r="K4" s="1" t="n">
        <v>8</v>
      </c>
      <c r="L4" s="1" t="n">
        <v>7</v>
      </c>
      <c r="M4" s="1" t="n">
        <v>8</v>
      </c>
    </row>
    <row r="5" customFormat="false" ht="15" hidden="false" customHeight="true" outlineLevel="0" collapsed="false">
      <c r="A5" s="1" t="s">
        <v>29</v>
      </c>
      <c r="B5" s="1" t="n">
        <v>6</v>
      </c>
      <c r="C5" s="1" t="n">
        <v>7</v>
      </c>
      <c r="D5" s="1" t="n">
        <v>5</v>
      </c>
      <c r="E5" s="1" t="n">
        <v>8</v>
      </c>
      <c r="F5" s="1" t="n">
        <v>9</v>
      </c>
      <c r="G5" s="1" t="n">
        <v>6</v>
      </c>
      <c r="H5" s="1" t="n">
        <v>7</v>
      </c>
      <c r="I5" s="1" t="n">
        <v>8</v>
      </c>
      <c r="J5" s="1" t="n">
        <v>7</v>
      </c>
      <c r="K5" s="1" t="n">
        <v>6</v>
      </c>
      <c r="L5" s="1" t="n">
        <v>5</v>
      </c>
      <c r="M5" s="1" t="n">
        <v>6</v>
      </c>
    </row>
    <row r="6" customFormat="false" ht="15" hidden="false" customHeight="true" outlineLevel="0" collapsed="false">
      <c r="A6" s="1" t="s">
        <v>32</v>
      </c>
      <c r="B6" s="1" t="n">
        <v>5</v>
      </c>
      <c r="C6" s="1" t="n">
        <v>6</v>
      </c>
      <c r="D6" s="1" t="n">
        <v>4</v>
      </c>
      <c r="E6" s="1" t="n">
        <v>6</v>
      </c>
      <c r="F6" s="1" t="n">
        <v>7</v>
      </c>
      <c r="G6" s="1" t="n">
        <v>5</v>
      </c>
      <c r="H6" s="1" t="n">
        <v>6</v>
      </c>
      <c r="I6" s="1" t="n">
        <v>7</v>
      </c>
      <c r="J6" s="1" t="n">
        <v>6</v>
      </c>
      <c r="K6" s="1" t="n">
        <v>5</v>
      </c>
      <c r="L6" s="1" t="n">
        <v>5</v>
      </c>
      <c r="M6" s="1" t="n">
        <v>4</v>
      </c>
    </row>
    <row r="7" customFormat="false" ht="15" hidden="false" customHeight="true" outlineLevel="0" collapsed="false">
      <c r="A7" s="1" t="s">
        <v>35</v>
      </c>
      <c r="B7" s="1" t="n">
        <v>4</v>
      </c>
      <c r="C7" s="1" t="n">
        <v>5</v>
      </c>
      <c r="D7" s="1" t="n">
        <v>3</v>
      </c>
      <c r="E7" s="1" t="n">
        <v>5</v>
      </c>
      <c r="F7" s="1" t="n">
        <v>6</v>
      </c>
      <c r="G7" s="1" t="n">
        <v>4</v>
      </c>
      <c r="H7" s="1" t="n">
        <v>5</v>
      </c>
      <c r="I7" s="1" t="n">
        <v>6</v>
      </c>
      <c r="J7" s="1" t="n">
        <v>5</v>
      </c>
      <c r="K7" s="1" t="n">
        <v>4</v>
      </c>
      <c r="L7" s="1" t="n">
        <v>4</v>
      </c>
      <c r="M7" s="1" t="n">
        <v>3</v>
      </c>
    </row>
    <row r="8" customFormat="false" ht="15" hidden="false" customHeight="true" outlineLevel="0" collapsed="false">
      <c r="A8" s="1" t="s">
        <v>62</v>
      </c>
    </row>
    <row r="9" customFormat="false" ht="15" hidden="false" customHeight="true" outlineLevel="0" collapsed="false">
      <c r="A9" s="1" t="s">
        <v>23</v>
      </c>
      <c r="B9" s="1" t="n">
        <v>145</v>
      </c>
      <c r="C9" s="1" t="n">
        <v>162</v>
      </c>
      <c r="D9" s="1" t="n">
        <v>131</v>
      </c>
      <c r="E9" s="1" t="n">
        <v>149</v>
      </c>
      <c r="F9" s="1" t="n">
        <v>178</v>
      </c>
      <c r="G9" s="1" t="n">
        <v>112</v>
      </c>
      <c r="H9" s="1" t="n">
        <v>138</v>
      </c>
      <c r="I9" s="1" t="n">
        <v>160</v>
      </c>
      <c r="J9" s="1" t="n">
        <v>148</v>
      </c>
      <c r="K9" s="1" t="n">
        <v>127</v>
      </c>
      <c r="L9" s="1" t="n">
        <v>118</v>
      </c>
      <c r="M9" s="1" t="n">
        <v>105</v>
      </c>
    </row>
    <row r="10" customFormat="false" ht="15" hidden="false" customHeight="true" outlineLevel="0" collapsed="false">
      <c r="A10" s="1" t="s">
        <v>26</v>
      </c>
      <c r="B10" s="1" t="n">
        <v>89</v>
      </c>
      <c r="C10" s="1" t="n">
        <v>98</v>
      </c>
      <c r="D10" s="1" t="n">
        <v>76</v>
      </c>
      <c r="E10" s="1" t="n">
        <v>102</v>
      </c>
      <c r="F10" s="1" t="n">
        <v>115</v>
      </c>
      <c r="G10" s="1" t="n">
        <v>82</v>
      </c>
      <c r="H10" s="1" t="n">
        <v>91</v>
      </c>
      <c r="I10" s="1" t="n">
        <v>105</v>
      </c>
      <c r="J10" s="1" t="n">
        <v>96</v>
      </c>
      <c r="K10" s="1" t="n">
        <v>84</v>
      </c>
      <c r="L10" s="1" t="n">
        <v>79</v>
      </c>
      <c r="M10" s="1" t="n">
        <v>88</v>
      </c>
    </row>
    <row r="11" customFormat="false" ht="15" hidden="false" customHeight="true" outlineLevel="0" collapsed="false">
      <c r="A11" s="1" t="s">
        <v>29</v>
      </c>
      <c r="B11" s="1" t="n">
        <v>62</v>
      </c>
      <c r="C11" s="1" t="n">
        <v>71</v>
      </c>
      <c r="D11" s="1" t="n">
        <v>54</v>
      </c>
      <c r="E11" s="1" t="n">
        <v>78</v>
      </c>
      <c r="F11" s="1" t="n">
        <v>85</v>
      </c>
      <c r="G11" s="1" t="n">
        <v>58</v>
      </c>
      <c r="H11" s="1" t="n">
        <v>67</v>
      </c>
      <c r="I11" s="1" t="n">
        <v>79</v>
      </c>
      <c r="J11" s="1" t="n">
        <v>71</v>
      </c>
      <c r="K11" s="1" t="n">
        <v>60</v>
      </c>
      <c r="L11" s="1" t="n">
        <v>57</v>
      </c>
      <c r="M11" s="1" t="n">
        <v>64</v>
      </c>
    </row>
    <row r="12" customFormat="false" ht="15" hidden="false" customHeight="true" outlineLevel="0" collapsed="false">
      <c r="A12" s="1" t="s">
        <v>32</v>
      </c>
      <c r="B12" s="1" t="n">
        <v>45</v>
      </c>
      <c r="C12" s="1" t="n">
        <v>52</v>
      </c>
      <c r="D12" s="1" t="n">
        <v>38</v>
      </c>
      <c r="E12" s="1" t="n">
        <v>56</v>
      </c>
      <c r="F12" s="1" t="n">
        <v>62</v>
      </c>
      <c r="G12" s="1" t="n">
        <v>42</v>
      </c>
      <c r="H12" s="1" t="n">
        <v>49</v>
      </c>
      <c r="I12" s="1" t="n">
        <v>58</v>
      </c>
      <c r="J12" s="1" t="n">
        <v>53</v>
      </c>
      <c r="K12" s="1" t="n">
        <v>44</v>
      </c>
      <c r="L12" s="1" t="n">
        <v>41</v>
      </c>
      <c r="M12" s="1" t="n">
        <v>46</v>
      </c>
    </row>
    <row r="13" customFormat="false" ht="15" hidden="false" customHeight="true" outlineLevel="0" collapsed="false">
      <c r="A13" s="1" t="s">
        <v>35</v>
      </c>
      <c r="B13" s="1" t="n">
        <v>28</v>
      </c>
      <c r="C13" s="1" t="n">
        <v>32</v>
      </c>
      <c r="D13" s="1" t="n">
        <v>24</v>
      </c>
      <c r="E13" s="1" t="n">
        <v>36</v>
      </c>
      <c r="F13" s="1" t="n">
        <v>40</v>
      </c>
      <c r="G13" s="1" t="n">
        <v>27</v>
      </c>
      <c r="H13" s="1" t="n">
        <v>31</v>
      </c>
      <c r="I13" s="1" t="n">
        <v>37</v>
      </c>
      <c r="J13" s="1" t="n">
        <v>34</v>
      </c>
      <c r="K13" s="1" t="n">
        <v>28</v>
      </c>
      <c r="L13" s="1" t="n">
        <v>26</v>
      </c>
      <c r="M13" s="1" t="n">
        <v>30</v>
      </c>
    </row>
    <row r="14" customFormat="false" ht="15" hidden="false" customHeight="true" outlineLevel="0" collapsed="false">
      <c r="A14" s="1" t="s">
        <v>63</v>
      </c>
    </row>
    <row r="15" customFormat="false" ht="15" hidden="false" customHeight="true" outlineLevel="0" collapsed="false">
      <c r="A15" s="1" t="s">
        <v>23</v>
      </c>
      <c r="B15" s="1" t="n">
        <v>0.87</v>
      </c>
      <c r="C15" s="1" t="n">
        <v>0.89</v>
      </c>
      <c r="D15" s="1" t="n">
        <v>0.85</v>
      </c>
      <c r="E15" s="1" t="n">
        <v>0.91</v>
      </c>
      <c r="F15" s="1" t="n">
        <v>0.88</v>
      </c>
      <c r="G15" s="1" t="n">
        <v>0.84</v>
      </c>
      <c r="H15" s="1" t="n">
        <v>0.86</v>
      </c>
      <c r="I15" s="1" t="n">
        <v>0.9</v>
      </c>
      <c r="J15" s="1" t="n">
        <v>0.88</v>
      </c>
      <c r="K15" s="1" t="n">
        <v>0.87</v>
      </c>
      <c r="L15" s="1" t="n">
        <v>0.83</v>
      </c>
      <c r="M15" s="1" t="n">
        <v>0.85</v>
      </c>
    </row>
    <row r="16" customFormat="false" ht="15" hidden="false" customHeight="true" outlineLevel="0" collapsed="false">
      <c r="A16" s="1" t="s">
        <v>26</v>
      </c>
      <c r="B16" s="1" t="n">
        <v>0.82</v>
      </c>
      <c r="C16" s="1" t="n">
        <v>0.84</v>
      </c>
      <c r="D16" s="1" t="n">
        <v>0.8</v>
      </c>
      <c r="E16" s="1" t="n">
        <v>0.86</v>
      </c>
      <c r="F16" s="1" t="n">
        <v>0.83</v>
      </c>
      <c r="G16" s="1" t="n">
        <v>0.79</v>
      </c>
      <c r="H16" s="1" t="n">
        <v>0.81</v>
      </c>
      <c r="I16" s="1" t="n">
        <v>0.85</v>
      </c>
      <c r="J16" s="1" t="n">
        <v>0.83</v>
      </c>
      <c r="K16" s="1" t="n">
        <v>0.82</v>
      </c>
      <c r="L16" s="1" t="n">
        <v>0.78</v>
      </c>
      <c r="M16" s="1" t="n">
        <v>0.8</v>
      </c>
    </row>
    <row r="17" customFormat="false" ht="15" hidden="false" customHeight="true" outlineLevel="0" collapsed="false">
      <c r="A17" s="1" t="s">
        <v>29</v>
      </c>
      <c r="B17" s="1" t="n">
        <v>0.9</v>
      </c>
      <c r="C17" s="1" t="n">
        <v>0.91</v>
      </c>
      <c r="D17" s="1" t="n">
        <v>0.88</v>
      </c>
      <c r="E17" s="1" t="n">
        <v>0.93</v>
      </c>
      <c r="F17" s="1" t="n">
        <v>0.91</v>
      </c>
      <c r="G17" s="1" t="n">
        <v>0.87</v>
      </c>
      <c r="H17" s="1" t="n">
        <v>0.89</v>
      </c>
      <c r="I17" s="1" t="n">
        <v>0.92</v>
      </c>
      <c r="J17" s="1" t="n">
        <v>0.9</v>
      </c>
      <c r="K17" s="1" t="n">
        <v>0.89</v>
      </c>
      <c r="L17" s="1" t="n">
        <v>0.86</v>
      </c>
      <c r="M17" s="1" t="n">
        <v>0.88</v>
      </c>
    </row>
    <row r="18" customFormat="false" ht="15" hidden="false" customHeight="true" outlineLevel="0" collapsed="false">
      <c r="A18" s="1" t="s">
        <v>32</v>
      </c>
      <c r="B18" s="1" t="n">
        <v>0.94</v>
      </c>
      <c r="C18" s="1" t="n">
        <v>0.95</v>
      </c>
      <c r="D18" s="1" t="n">
        <v>0.92</v>
      </c>
      <c r="E18" s="1" t="n">
        <v>0.96</v>
      </c>
      <c r="F18" s="1" t="n">
        <v>0.95</v>
      </c>
      <c r="G18" s="1" t="n">
        <v>0.91</v>
      </c>
      <c r="H18" s="1" t="n">
        <v>0.93</v>
      </c>
      <c r="I18" s="1" t="n">
        <v>0.96</v>
      </c>
      <c r="J18" s="1" t="n">
        <v>0.94</v>
      </c>
      <c r="K18" s="1" t="n">
        <v>0.93</v>
      </c>
      <c r="L18" s="1" t="n">
        <v>0.9</v>
      </c>
      <c r="M18" s="1" t="n">
        <v>0.92</v>
      </c>
    </row>
    <row r="19" customFormat="false" ht="15" hidden="false" customHeight="true" outlineLevel="0" collapsed="false">
      <c r="A19" s="1" t="s">
        <v>35</v>
      </c>
      <c r="B19" s="1" t="n">
        <v>0.88</v>
      </c>
      <c r="C19" s="1" t="n">
        <v>0.9</v>
      </c>
      <c r="D19" s="1" t="n">
        <v>0.86</v>
      </c>
      <c r="E19" s="1" t="n">
        <v>0.92</v>
      </c>
      <c r="F19" s="1" t="n">
        <v>0.9</v>
      </c>
      <c r="G19" s="1" t="n">
        <v>0.85</v>
      </c>
      <c r="H19" s="1" t="n">
        <v>0.87</v>
      </c>
      <c r="I19" s="1" t="n">
        <v>0.91</v>
      </c>
      <c r="J19" s="1" t="n">
        <v>0.89</v>
      </c>
      <c r="K19" s="1" t="n">
        <v>0.88</v>
      </c>
      <c r="L19" s="1" t="n">
        <v>0.84</v>
      </c>
      <c r="M19" s="1" t="n">
        <v>0.86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4" min="2" style="1" width="12"/>
  </cols>
  <sheetData>
    <row r="1" customFormat="false" ht="30" hidden="false" customHeight="true" outlineLevel="0" collapsed="false">
      <c r="A1" s="36" t="s">
        <v>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customFormat="false" ht="15" hidden="false" customHeight="true" outlineLevel="0" collapsed="false">
      <c r="A3" s="37" t="s">
        <v>65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customFormat="false" ht="19.5" hidden="false" customHeight="true" outlineLevel="0" collapsed="false">
      <c r="A4" s="38" t="s">
        <v>66</v>
      </c>
      <c r="B4" s="38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38" t="s">
        <v>48</v>
      </c>
      <c r="H4" s="38" t="s">
        <v>49</v>
      </c>
      <c r="I4" s="38" t="s">
        <v>50</v>
      </c>
      <c r="J4" s="38" t="s">
        <v>51</v>
      </c>
      <c r="K4" s="38" t="s">
        <v>52</v>
      </c>
      <c r="L4" s="38" t="s">
        <v>53</v>
      </c>
      <c r="M4" s="38" t="s">
        <v>54</v>
      </c>
      <c r="N4" s="38" t="s">
        <v>67</v>
      </c>
    </row>
    <row r="5" customFormat="false" ht="19.5" hidden="false" customHeight="true" outlineLevel="0" collapsed="false">
      <c r="A5" s="39" t="s">
        <v>61</v>
      </c>
      <c r="B5" s="40" t="n">
        <v>12</v>
      </c>
      <c r="C5" s="40" t="n">
        <v>14</v>
      </c>
      <c r="D5" s="40" t="n">
        <v>11</v>
      </c>
      <c r="E5" s="40" t="n">
        <v>13</v>
      </c>
      <c r="F5" s="40" t="n">
        <v>15</v>
      </c>
      <c r="G5" s="40" t="n">
        <v>10</v>
      </c>
      <c r="H5" s="40" t="n">
        <v>12</v>
      </c>
      <c r="I5" s="40" t="n">
        <v>14</v>
      </c>
      <c r="J5" s="40" t="n">
        <v>13</v>
      </c>
      <c r="K5" s="40" t="n">
        <v>11</v>
      </c>
      <c r="L5" s="40" t="n">
        <v>10</v>
      </c>
      <c r="M5" s="40" t="n">
        <v>9</v>
      </c>
      <c r="N5" s="41" t="n">
        <f aca="false">SUM(B5:M5)</f>
        <v>144</v>
      </c>
    </row>
    <row r="6" customFormat="false" ht="19.5" hidden="false" customHeight="true" outlineLevel="0" collapsed="false">
      <c r="A6" s="42" t="s">
        <v>62</v>
      </c>
      <c r="B6" s="43" t="n">
        <v>145</v>
      </c>
      <c r="C6" s="43" t="n">
        <v>162</v>
      </c>
      <c r="D6" s="43" t="n">
        <v>131</v>
      </c>
      <c r="E6" s="43" t="n">
        <v>149</v>
      </c>
      <c r="F6" s="43" t="n">
        <v>178</v>
      </c>
      <c r="G6" s="43" t="n">
        <v>112</v>
      </c>
      <c r="H6" s="43" t="n">
        <v>138</v>
      </c>
      <c r="I6" s="43" t="n">
        <v>160</v>
      </c>
      <c r="J6" s="43" t="n">
        <v>148</v>
      </c>
      <c r="K6" s="43" t="n">
        <v>127</v>
      </c>
      <c r="L6" s="43" t="n">
        <v>118</v>
      </c>
      <c r="M6" s="43" t="n">
        <v>105</v>
      </c>
      <c r="N6" s="41" t="n">
        <f aca="false">SUM(B6:M6)</f>
        <v>1673</v>
      </c>
    </row>
    <row r="7" customFormat="false" ht="19.5" hidden="false" customHeight="true" outlineLevel="0" collapsed="false">
      <c r="A7" s="39" t="s">
        <v>68</v>
      </c>
      <c r="B7" s="44" t="n">
        <v>0.87</v>
      </c>
      <c r="C7" s="44" t="n">
        <v>0.89</v>
      </c>
      <c r="D7" s="44" t="n">
        <v>0.85</v>
      </c>
      <c r="E7" s="44" t="n">
        <v>0.91</v>
      </c>
      <c r="F7" s="44" t="n">
        <v>0.88</v>
      </c>
      <c r="G7" s="44" t="n">
        <v>0.84</v>
      </c>
      <c r="H7" s="44" t="n">
        <v>0.86</v>
      </c>
      <c r="I7" s="44" t="n">
        <v>0.9</v>
      </c>
      <c r="J7" s="44" t="n">
        <v>0.88</v>
      </c>
      <c r="K7" s="44" t="n">
        <v>0.87</v>
      </c>
      <c r="L7" s="44" t="n">
        <v>0.83</v>
      </c>
      <c r="M7" s="44" t="n">
        <v>0.85</v>
      </c>
      <c r="N7" s="45" t="n">
        <f aca="false">AVERAGE(B7:M7)</f>
        <v>0.869166666666667</v>
      </c>
    </row>
    <row r="9" customFormat="false" ht="15" hidden="false" customHeight="true" outlineLevel="0" collapsed="false"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52</v>
      </c>
      <c r="L9" s="1" t="s">
        <v>53</v>
      </c>
      <c r="M9" s="1" t="s">
        <v>54</v>
      </c>
    </row>
    <row r="10" customFormat="false" ht="15" hidden="false" customHeight="true" outlineLevel="0" collapsed="false">
      <c r="A10" s="1" t="s">
        <v>69</v>
      </c>
      <c r="B10" s="1" t="n">
        <v>12</v>
      </c>
      <c r="C10" s="1" t="n">
        <v>14</v>
      </c>
      <c r="D10" s="1" t="n">
        <v>11</v>
      </c>
      <c r="E10" s="1" t="n">
        <v>13</v>
      </c>
      <c r="F10" s="1" t="n">
        <v>15</v>
      </c>
      <c r="G10" s="1" t="n">
        <v>10</v>
      </c>
      <c r="H10" s="1" t="n">
        <v>12</v>
      </c>
      <c r="I10" s="1" t="n">
        <v>14</v>
      </c>
      <c r="J10" s="1" t="n">
        <v>13</v>
      </c>
      <c r="K10" s="1" t="n">
        <v>11</v>
      </c>
      <c r="L10" s="1" t="n">
        <v>10</v>
      </c>
      <c r="M10" s="1" t="n">
        <v>9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4" min="2" style="1" width="12"/>
  </cols>
  <sheetData>
    <row r="1" customFormat="false" ht="30" hidden="false" customHeight="true" outlineLevel="0" collapsed="false">
      <c r="A1" s="36" t="s">
        <v>70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customFormat="false" ht="15" hidden="false" customHeight="true" outlineLevel="0" collapsed="false">
      <c r="A3" s="37" t="s">
        <v>65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customFormat="false" ht="19.5" hidden="false" customHeight="true" outlineLevel="0" collapsed="false">
      <c r="A4" s="38" t="s">
        <v>66</v>
      </c>
      <c r="B4" s="38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38" t="s">
        <v>48</v>
      </c>
      <c r="H4" s="38" t="s">
        <v>49</v>
      </c>
      <c r="I4" s="38" t="s">
        <v>50</v>
      </c>
      <c r="J4" s="38" t="s">
        <v>51</v>
      </c>
      <c r="K4" s="38" t="s">
        <v>52</v>
      </c>
      <c r="L4" s="38" t="s">
        <v>53</v>
      </c>
      <c r="M4" s="38" t="s">
        <v>54</v>
      </c>
      <c r="N4" s="38" t="s">
        <v>67</v>
      </c>
    </row>
    <row r="5" customFormat="false" ht="19.5" hidden="false" customHeight="true" outlineLevel="0" collapsed="false">
      <c r="A5" s="39" t="s">
        <v>61</v>
      </c>
      <c r="B5" s="40" t="n">
        <v>8</v>
      </c>
      <c r="C5" s="40" t="n">
        <v>9</v>
      </c>
      <c r="D5" s="40" t="n">
        <v>7</v>
      </c>
      <c r="E5" s="40" t="n">
        <v>10</v>
      </c>
      <c r="F5" s="40" t="n">
        <v>11</v>
      </c>
      <c r="G5" s="40" t="n">
        <v>8</v>
      </c>
      <c r="H5" s="40" t="n">
        <v>9</v>
      </c>
      <c r="I5" s="40" t="n">
        <v>10</v>
      </c>
      <c r="J5" s="40" t="n">
        <v>9</v>
      </c>
      <c r="K5" s="40" t="n">
        <v>8</v>
      </c>
      <c r="L5" s="40" t="n">
        <v>7</v>
      </c>
      <c r="M5" s="40" t="n">
        <v>8</v>
      </c>
      <c r="N5" s="41" t="n">
        <f aca="false">SUM(B5:M5)</f>
        <v>104</v>
      </c>
    </row>
    <row r="6" customFormat="false" ht="19.5" hidden="false" customHeight="true" outlineLevel="0" collapsed="false">
      <c r="A6" s="42" t="s">
        <v>62</v>
      </c>
      <c r="B6" s="43" t="n">
        <v>89</v>
      </c>
      <c r="C6" s="43" t="n">
        <v>98</v>
      </c>
      <c r="D6" s="43" t="n">
        <v>76</v>
      </c>
      <c r="E6" s="43" t="n">
        <v>102</v>
      </c>
      <c r="F6" s="43" t="n">
        <v>115</v>
      </c>
      <c r="G6" s="43" t="n">
        <v>82</v>
      </c>
      <c r="H6" s="43" t="n">
        <v>91</v>
      </c>
      <c r="I6" s="43" t="n">
        <v>105</v>
      </c>
      <c r="J6" s="43" t="n">
        <v>96</v>
      </c>
      <c r="K6" s="43" t="n">
        <v>84</v>
      </c>
      <c r="L6" s="43" t="n">
        <v>79</v>
      </c>
      <c r="M6" s="43" t="n">
        <v>88</v>
      </c>
      <c r="N6" s="41" t="n">
        <f aca="false">SUM(B6:M6)</f>
        <v>1105</v>
      </c>
    </row>
    <row r="7" customFormat="false" ht="19.5" hidden="false" customHeight="true" outlineLevel="0" collapsed="false">
      <c r="A7" s="39" t="s">
        <v>68</v>
      </c>
      <c r="B7" s="44" t="n">
        <v>0.82</v>
      </c>
      <c r="C7" s="44" t="n">
        <v>0.84</v>
      </c>
      <c r="D7" s="44" t="n">
        <v>0.8</v>
      </c>
      <c r="E7" s="44" t="n">
        <v>0.86</v>
      </c>
      <c r="F7" s="44" t="n">
        <v>0.83</v>
      </c>
      <c r="G7" s="44" t="n">
        <v>0.79</v>
      </c>
      <c r="H7" s="44" t="n">
        <v>0.81</v>
      </c>
      <c r="I7" s="44" t="n">
        <v>0.85</v>
      </c>
      <c r="J7" s="44" t="n">
        <v>0.83</v>
      </c>
      <c r="K7" s="44" t="n">
        <v>0.82</v>
      </c>
      <c r="L7" s="44" t="n">
        <v>0.78</v>
      </c>
      <c r="M7" s="44" t="n">
        <v>0.8</v>
      </c>
      <c r="N7" s="45" t="n">
        <f aca="false">AVERAGE(B7:M7)</f>
        <v>0.819166666666667</v>
      </c>
    </row>
    <row r="9" customFormat="false" ht="15" hidden="false" customHeight="true" outlineLevel="0" collapsed="false"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52</v>
      </c>
      <c r="L9" s="1" t="s">
        <v>53</v>
      </c>
      <c r="M9" s="1" t="s">
        <v>54</v>
      </c>
    </row>
    <row r="10" customFormat="false" ht="15" hidden="false" customHeight="true" outlineLevel="0" collapsed="false">
      <c r="A10" s="1" t="s">
        <v>69</v>
      </c>
      <c r="B10" s="1" t="n">
        <v>8</v>
      </c>
      <c r="C10" s="1" t="n">
        <v>9</v>
      </c>
      <c r="D10" s="1" t="n">
        <v>7</v>
      </c>
      <c r="E10" s="1" t="n">
        <v>10</v>
      </c>
      <c r="F10" s="1" t="n">
        <v>11</v>
      </c>
      <c r="G10" s="1" t="n">
        <v>8</v>
      </c>
      <c r="H10" s="1" t="n">
        <v>9</v>
      </c>
      <c r="I10" s="1" t="n">
        <v>10</v>
      </c>
      <c r="J10" s="1" t="n">
        <v>9</v>
      </c>
      <c r="K10" s="1" t="n">
        <v>8</v>
      </c>
      <c r="L10" s="1" t="n">
        <v>7</v>
      </c>
      <c r="M10" s="1" t="n">
        <v>8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4" min="2" style="1" width="12"/>
  </cols>
  <sheetData>
    <row r="1" customFormat="false" ht="30" hidden="false" customHeight="true" outlineLevel="0" collapsed="false">
      <c r="A1" s="36" t="s">
        <v>71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customFormat="false" ht="15" hidden="false" customHeight="true" outlineLevel="0" collapsed="false">
      <c r="A3" s="37" t="s">
        <v>65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customFormat="false" ht="19.5" hidden="false" customHeight="true" outlineLevel="0" collapsed="false">
      <c r="A4" s="38" t="s">
        <v>66</v>
      </c>
      <c r="B4" s="38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38" t="s">
        <v>48</v>
      </c>
      <c r="H4" s="38" t="s">
        <v>49</v>
      </c>
      <c r="I4" s="38" t="s">
        <v>50</v>
      </c>
      <c r="J4" s="38" t="s">
        <v>51</v>
      </c>
      <c r="K4" s="38" t="s">
        <v>52</v>
      </c>
      <c r="L4" s="38" t="s">
        <v>53</v>
      </c>
      <c r="M4" s="38" t="s">
        <v>54</v>
      </c>
      <c r="N4" s="38" t="s">
        <v>67</v>
      </c>
    </row>
    <row r="5" customFormat="false" ht="19.5" hidden="false" customHeight="true" outlineLevel="0" collapsed="false">
      <c r="A5" s="39" t="s">
        <v>61</v>
      </c>
      <c r="B5" s="40" t="n">
        <v>6</v>
      </c>
      <c r="C5" s="40" t="n">
        <v>7</v>
      </c>
      <c r="D5" s="40" t="n">
        <v>5</v>
      </c>
      <c r="E5" s="40" t="n">
        <v>8</v>
      </c>
      <c r="F5" s="40" t="n">
        <v>9</v>
      </c>
      <c r="G5" s="40" t="n">
        <v>6</v>
      </c>
      <c r="H5" s="40" t="n">
        <v>7</v>
      </c>
      <c r="I5" s="40" t="n">
        <v>8</v>
      </c>
      <c r="J5" s="40" t="n">
        <v>7</v>
      </c>
      <c r="K5" s="40" t="n">
        <v>6</v>
      </c>
      <c r="L5" s="40" t="n">
        <v>5</v>
      </c>
      <c r="M5" s="40" t="n">
        <v>6</v>
      </c>
      <c r="N5" s="41" t="n">
        <f aca="false">SUM(B5:M5)</f>
        <v>80</v>
      </c>
    </row>
    <row r="6" customFormat="false" ht="19.5" hidden="false" customHeight="true" outlineLevel="0" collapsed="false">
      <c r="A6" s="42" t="s">
        <v>62</v>
      </c>
      <c r="B6" s="43" t="n">
        <v>62</v>
      </c>
      <c r="C6" s="43" t="n">
        <v>71</v>
      </c>
      <c r="D6" s="43" t="n">
        <v>54</v>
      </c>
      <c r="E6" s="43" t="n">
        <v>78</v>
      </c>
      <c r="F6" s="43" t="n">
        <v>85</v>
      </c>
      <c r="G6" s="43" t="n">
        <v>58</v>
      </c>
      <c r="H6" s="43" t="n">
        <v>67</v>
      </c>
      <c r="I6" s="43" t="n">
        <v>79</v>
      </c>
      <c r="J6" s="43" t="n">
        <v>71</v>
      </c>
      <c r="K6" s="43" t="n">
        <v>60</v>
      </c>
      <c r="L6" s="43" t="n">
        <v>57</v>
      </c>
      <c r="M6" s="43" t="n">
        <v>64</v>
      </c>
      <c r="N6" s="41" t="n">
        <f aca="false">SUM(B6:M6)</f>
        <v>806</v>
      </c>
    </row>
    <row r="7" customFormat="false" ht="19.5" hidden="false" customHeight="true" outlineLevel="0" collapsed="false">
      <c r="A7" s="39" t="s">
        <v>68</v>
      </c>
      <c r="B7" s="44" t="n">
        <v>0.9</v>
      </c>
      <c r="C7" s="44" t="n">
        <v>0.91</v>
      </c>
      <c r="D7" s="44" t="n">
        <v>0.88</v>
      </c>
      <c r="E7" s="44" t="n">
        <v>0.93</v>
      </c>
      <c r="F7" s="44" t="n">
        <v>0.91</v>
      </c>
      <c r="G7" s="44" t="n">
        <v>0.87</v>
      </c>
      <c r="H7" s="44" t="n">
        <v>0.89</v>
      </c>
      <c r="I7" s="44" t="n">
        <v>0.92</v>
      </c>
      <c r="J7" s="44" t="n">
        <v>0.9</v>
      </c>
      <c r="K7" s="44" t="n">
        <v>0.89</v>
      </c>
      <c r="L7" s="44" t="n">
        <v>0.86</v>
      </c>
      <c r="M7" s="44" t="n">
        <v>0.88</v>
      </c>
      <c r="N7" s="45" t="n">
        <f aca="false">AVERAGE(B7:M7)</f>
        <v>0.895</v>
      </c>
    </row>
    <row r="9" customFormat="false" ht="15" hidden="false" customHeight="true" outlineLevel="0" collapsed="false"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52</v>
      </c>
      <c r="L9" s="1" t="s">
        <v>53</v>
      </c>
      <c r="M9" s="1" t="s">
        <v>54</v>
      </c>
    </row>
    <row r="10" customFormat="false" ht="15" hidden="false" customHeight="true" outlineLevel="0" collapsed="false">
      <c r="A10" s="1" t="s">
        <v>69</v>
      </c>
      <c r="B10" s="1" t="n">
        <v>6</v>
      </c>
      <c r="C10" s="1" t="n">
        <v>7</v>
      </c>
      <c r="D10" s="1" t="n">
        <v>5</v>
      </c>
      <c r="E10" s="1" t="n">
        <v>8</v>
      </c>
      <c r="F10" s="1" t="n">
        <v>9</v>
      </c>
      <c r="G10" s="1" t="n">
        <v>6</v>
      </c>
      <c r="H10" s="1" t="n">
        <v>7</v>
      </c>
      <c r="I10" s="1" t="n">
        <v>8</v>
      </c>
      <c r="J10" s="1" t="n">
        <v>7</v>
      </c>
      <c r="K10" s="1" t="n">
        <v>6</v>
      </c>
      <c r="L10" s="1" t="n">
        <v>5</v>
      </c>
      <c r="M10" s="1" t="n">
        <v>6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4" min="2" style="1" width="12"/>
  </cols>
  <sheetData>
    <row r="1" customFormat="false" ht="30" hidden="false" customHeight="true" outlineLevel="0" collapsed="false">
      <c r="A1" s="36" t="s">
        <v>72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customFormat="false" ht="15" hidden="false" customHeight="true" outlineLevel="0" collapsed="false">
      <c r="A3" s="37" t="s">
        <v>65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customFormat="false" ht="19.5" hidden="false" customHeight="true" outlineLevel="0" collapsed="false">
      <c r="A4" s="38" t="s">
        <v>66</v>
      </c>
      <c r="B4" s="38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38" t="s">
        <v>48</v>
      </c>
      <c r="H4" s="38" t="s">
        <v>49</v>
      </c>
      <c r="I4" s="38" t="s">
        <v>50</v>
      </c>
      <c r="J4" s="38" t="s">
        <v>51</v>
      </c>
      <c r="K4" s="38" t="s">
        <v>52</v>
      </c>
      <c r="L4" s="38" t="s">
        <v>53</v>
      </c>
      <c r="M4" s="38" t="s">
        <v>54</v>
      </c>
      <c r="N4" s="38" t="s">
        <v>67</v>
      </c>
    </row>
    <row r="5" customFormat="false" ht="19.5" hidden="false" customHeight="true" outlineLevel="0" collapsed="false">
      <c r="A5" s="39" t="s">
        <v>61</v>
      </c>
      <c r="B5" s="40" t="n">
        <v>5</v>
      </c>
      <c r="C5" s="40" t="n">
        <v>6</v>
      </c>
      <c r="D5" s="40" t="n">
        <v>4</v>
      </c>
      <c r="E5" s="40" t="n">
        <v>6</v>
      </c>
      <c r="F5" s="40" t="n">
        <v>7</v>
      </c>
      <c r="G5" s="40" t="n">
        <v>5</v>
      </c>
      <c r="H5" s="40" t="n">
        <v>6</v>
      </c>
      <c r="I5" s="40" t="n">
        <v>7</v>
      </c>
      <c r="J5" s="40" t="n">
        <v>6</v>
      </c>
      <c r="K5" s="40" t="n">
        <v>5</v>
      </c>
      <c r="L5" s="40" t="n">
        <v>5</v>
      </c>
      <c r="M5" s="40" t="n">
        <v>4</v>
      </c>
      <c r="N5" s="41" t="n">
        <f aca="false">SUM(B5:M5)</f>
        <v>66</v>
      </c>
    </row>
    <row r="6" customFormat="false" ht="19.5" hidden="false" customHeight="true" outlineLevel="0" collapsed="false">
      <c r="A6" s="42" t="s">
        <v>62</v>
      </c>
      <c r="B6" s="43" t="n">
        <v>45</v>
      </c>
      <c r="C6" s="43" t="n">
        <v>52</v>
      </c>
      <c r="D6" s="43" t="n">
        <v>38</v>
      </c>
      <c r="E6" s="43" t="n">
        <v>56</v>
      </c>
      <c r="F6" s="43" t="n">
        <v>62</v>
      </c>
      <c r="G6" s="43" t="n">
        <v>42</v>
      </c>
      <c r="H6" s="43" t="n">
        <v>49</v>
      </c>
      <c r="I6" s="43" t="n">
        <v>58</v>
      </c>
      <c r="J6" s="43" t="n">
        <v>53</v>
      </c>
      <c r="K6" s="43" t="n">
        <v>44</v>
      </c>
      <c r="L6" s="43" t="n">
        <v>41</v>
      </c>
      <c r="M6" s="43" t="n">
        <v>46</v>
      </c>
      <c r="N6" s="41" t="n">
        <f aca="false">SUM(B6:M6)</f>
        <v>586</v>
      </c>
    </row>
    <row r="7" customFormat="false" ht="19.5" hidden="false" customHeight="true" outlineLevel="0" collapsed="false">
      <c r="A7" s="39" t="s">
        <v>68</v>
      </c>
      <c r="B7" s="44" t="n">
        <v>0.94</v>
      </c>
      <c r="C7" s="44" t="n">
        <v>0.95</v>
      </c>
      <c r="D7" s="44" t="n">
        <v>0.92</v>
      </c>
      <c r="E7" s="44" t="n">
        <v>0.96</v>
      </c>
      <c r="F7" s="44" t="n">
        <v>0.95</v>
      </c>
      <c r="G7" s="44" t="n">
        <v>0.91</v>
      </c>
      <c r="H7" s="44" t="n">
        <v>0.93</v>
      </c>
      <c r="I7" s="44" t="n">
        <v>0.96</v>
      </c>
      <c r="J7" s="44" t="n">
        <v>0.94</v>
      </c>
      <c r="K7" s="44" t="n">
        <v>0.93</v>
      </c>
      <c r="L7" s="44" t="n">
        <v>0.9</v>
      </c>
      <c r="M7" s="44" t="n">
        <v>0.92</v>
      </c>
      <c r="N7" s="45" t="n">
        <f aca="false">AVERAGE(B7:M7)</f>
        <v>0.934166666666667</v>
      </c>
    </row>
    <row r="9" customFormat="false" ht="15" hidden="false" customHeight="true" outlineLevel="0" collapsed="false"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52</v>
      </c>
      <c r="L9" s="1" t="s">
        <v>53</v>
      </c>
      <c r="M9" s="1" t="s">
        <v>54</v>
      </c>
    </row>
    <row r="10" customFormat="false" ht="15" hidden="false" customHeight="true" outlineLevel="0" collapsed="false">
      <c r="A10" s="1" t="s">
        <v>69</v>
      </c>
      <c r="B10" s="1" t="n">
        <v>5</v>
      </c>
      <c r="C10" s="1" t="n">
        <v>6</v>
      </c>
      <c r="D10" s="1" t="n">
        <v>4</v>
      </c>
      <c r="E10" s="1" t="n">
        <v>6</v>
      </c>
      <c r="F10" s="1" t="n">
        <v>7</v>
      </c>
      <c r="G10" s="1" t="n">
        <v>5</v>
      </c>
      <c r="H10" s="1" t="n">
        <v>6</v>
      </c>
      <c r="I10" s="1" t="n">
        <v>7</v>
      </c>
      <c r="J10" s="1" t="n">
        <v>6</v>
      </c>
      <c r="K10" s="1" t="n">
        <v>5</v>
      </c>
      <c r="L10" s="1" t="n">
        <v>5</v>
      </c>
      <c r="M10" s="1" t="n">
        <v>4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4" min="2" style="1" width="12"/>
  </cols>
  <sheetData>
    <row r="1" customFormat="false" ht="30" hidden="false" customHeight="true" outlineLevel="0" collapsed="false">
      <c r="A1" s="36" t="s">
        <v>73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customFormat="false" ht="15" hidden="false" customHeight="true" outlineLevel="0" collapsed="false">
      <c r="A3" s="37" t="s">
        <v>65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customFormat="false" ht="19.5" hidden="false" customHeight="true" outlineLevel="0" collapsed="false">
      <c r="A4" s="38" t="s">
        <v>66</v>
      </c>
      <c r="B4" s="38" t="s">
        <v>43</v>
      </c>
      <c r="C4" s="38" t="s">
        <v>44</v>
      </c>
      <c r="D4" s="38" t="s">
        <v>45</v>
      </c>
      <c r="E4" s="38" t="s">
        <v>46</v>
      </c>
      <c r="F4" s="38" t="s">
        <v>47</v>
      </c>
      <c r="G4" s="38" t="s">
        <v>48</v>
      </c>
      <c r="H4" s="38" t="s">
        <v>49</v>
      </c>
      <c r="I4" s="38" t="s">
        <v>50</v>
      </c>
      <c r="J4" s="38" t="s">
        <v>51</v>
      </c>
      <c r="K4" s="38" t="s">
        <v>52</v>
      </c>
      <c r="L4" s="38" t="s">
        <v>53</v>
      </c>
      <c r="M4" s="38" t="s">
        <v>54</v>
      </c>
      <c r="N4" s="38" t="s">
        <v>67</v>
      </c>
    </row>
    <row r="5" customFormat="false" ht="19.5" hidden="false" customHeight="true" outlineLevel="0" collapsed="false">
      <c r="A5" s="39" t="s">
        <v>61</v>
      </c>
      <c r="B5" s="40" t="n">
        <v>4</v>
      </c>
      <c r="C5" s="40" t="n">
        <v>5</v>
      </c>
      <c r="D5" s="40" t="n">
        <v>3</v>
      </c>
      <c r="E5" s="40" t="n">
        <v>5</v>
      </c>
      <c r="F5" s="40" t="n">
        <v>6</v>
      </c>
      <c r="G5" s="40" t="n">
        <v>4</v>
      </c>
      <c r="H5" s="40" t="n">
        <v>5</v>
      </c>
      <c r="I5" s="40" t="n">
        <v>6</v>
      </c>
      <c r="J5" s="40" t="n">
        <v>5</v>
      </c>
      <c r="K5" s="40" t="n">
        <v>4</v>
      </c>
      <c r="L5" s="40" t="n">
        <v>4</v>
      </c>
      <c r="M5" s="40" t="n">
        <v>3</v>
      </c>
      <c r="N5" s="41" t="n">
        <f aca="false">SUM(B5:M5)</f>
        <v>54</v>
      </c>
    </row>
    <row r="6" customFormat="false" ht="19.5" hidden="false" customHeight="true" outlineLevel="0" collapsed="false">
      <c r="A6" s="42" t="s">
        <v>62</v>
      </c>
      <c r="B6" s="43" t="n">
        <v>28</v>
      </c>
      <c r="C6" s="43" t="n">
        <v>32</v>
      </c>
      <c r="D6" s="43" t="n">
        <v>24</v>
      </c>
      <c r="E6" s="43" t="n">
        <v>36</v>
      </c>
      <c r="F6" s="43" t="n">
        <v>40</v>
      </c>
      <c r="G6" s="43" t="n">
        <v>27</v>
      </c>
      <c r="H6" s="43" t="n">
        <v>31</v>
      </c>
      <c r="I6" s="43" t="n">
        <v>37</v>
      </c>
      <c r="J6" s="43" t="n">
        <v>34</v>
      </c>
      <c r="K6" s="43" t="n">
        <v>28</v>
      </c>
      <c r="L6" s="43" t="n">
        <v>26</v>
      </c>
      <c r="M6" s="43" t="n">
        <v>30</v>
      </c>
      <c r="N6" s="41" t="n">
        <f aca="false">SUM(B6:M6)</f>
        <v>373</v>
      </c>
    </row>
    <row r="7" customFormat="false" ht="19.5" hidden="false" customHeight="true" outlineLevel="0" collapsed="false">
      <c r="A7" s="39" t="s">
        <v>68</v>
      </c>
      <c r="B7" s="44" t="n">
        <v>0.88</v>
      </c>
      <c r="C7" s="44" t="n">
        <v>0.9</v>
      </c>
      <c r="D7" s="44" t="n">
        <v>0.86</v>
      </c>
      <c r="E7" s="44" t="n">
        <v>0.92</v>
      </c>
      <c r="F7" s="44" t="n">
        <v>0.9</v>
      </c>
      <c r="G7" s="44" t="n">
        <v>0.85</v>
      </c>
      <c r="H7" s="44" t="n">
        <v>0.87</v>
      </c>
      <c r="I7" s="44" t="n">
        <v>0.91</v>
      </c>
      <c r="J7" s="44" t="n">
        <v>0.89</v>
      </c>
      <c r="K7" s="44" t="n">
        <v>0.88</v>
      </c>
      <c r="L7" s="44" t="n">
        <v>0.84</v>
      </c>
      <c r="M7" s="44" t="n">
        <v>0.86</v>
      </c>
      <c r="N7" s="45" t="n">
        <f aca="false">AVERAGE(B7:M7)</f>
        <v>0.88</v>
      </c>
    </row>
    <row r="9" customFormat="false" ht="15" hidden="false" customHeight="true" outlineLevel="0" collapsed="false"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52</v>
      </c>
      <c r="L9" s="1" t="s">
        <v>53</v>
      </c>
      <c r="M9" s="1" t="s">
        <v>54</v>
      </c>
    </row>
    <row r="10" customFormat="false" ht="15" hidden="false" customHeight="true" outlineLevel="0" collapsed="false">
      <c r="A10" s="1" t="s">
        <v>69</v>
      </c>
      <c r="B10" s="1" t="n">
        <v>4</v>
      </c>
      <c r="C10" s="1" t="n">
        <v>5</v>
      </c>
      <c r="D10" s="1" t="n">
        <v>3</v>
      </c>
      <c r="E10" s="1" t="n">
        <v>5</v>
      </c>
      <c r="F10" s="1" t="n">
        <v>6</v>
      </c>
      <c r="G10" s="1" t="n">
        <v>4</v>
      </c>
      <c r="H10" s="1" t="n">
        <v>5</v>
      </c>
      <c r="I10" s="1" t="n">
        <v>6</v>
      </c>
      <c r="J10" s="1" t="n">
        <v>5</v>
      </c>
      <c r="K10" s="1" t="n">
        <v>4</v>
      </c>
      <c r="L10" s="1" t="n">
        <v>4</v>
      </c>
      <c r="M10" s="1" t="n">
        <v>3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2026-02-20T19:30:08Z</dcterms:created>
  <dc:creator>openpyxl</dc:creator>
  <dc:description/>
  <dc:language>en-US</dc:language>
  <cp:lastModifiedBy/>
  <dcterms:modified xsi:type="dcterms:W3CDTF">2026-02-20T19:30:33Z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